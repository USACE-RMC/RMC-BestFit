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rmc-bestfit\examples\6-rating-curve-analysis\"/>
    </mc:Choice>
  </mc:AlternateContent>
  <xr:revisionPtr revIDLastSave="0" documentId="13_ncr:1_{832B73C1-1BD9-4A75-822D-729D9A857D29}" xr6:coauthVersionLast="47" xr6:coauthVersionMax="47" xr10:uidLastSave="{00000000-0000-0000-0000-000000000000}"/>
  <bookViews>
    <workbookView xWindow="-28920" yWindow="-1200" windowWidth="29040" windowHeight="17520" activeTab="2" xr2:uid="{5E52B9E9-24CF-40EE-9892-17B91B4916ED}"/>
  </bookViews>
  <sheets>
    <sheet name="1 Segment" sheetId="1" r:id="rId1"/>
    <sheet name="2 Segment" sheetId="2" r:id="rId2"/>
    <sheet name="3 Seg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3" i="1"/>
  <c r="J4" i="1"/>
  <c r="M27" i="3"/>
  <c r="M29" i="3"/>
  <c r="M30" i="3"/>
  <c r="M35" i="3"/>
  <c r="M36" i="3"/>
  <c r="M47" i="3"/>
  <c r="M48" i="3"/>
  <c r="M49" i="3"/>
  <c r="M59" i="3"/>
  <c r="M60" i="3"/>
  <c r="M74" i="3"/>
  <c r="M76" i="3"/>
  <c r="M77" i="3"/>
  <c r="M78" i="3"/>
  <c r="M82" i="3"/>
  <c r="M83" i="3"/>
  <c r="M84" i="3"/>
  <c r="M93" i="3"/>
  <c r="M94" i="3"/>
  <c r="M95" i="3"/>
  <c r="M96" i="3"/>
  <c r="M107" i="3"/>
  <c r="M123" i="3"/>
  <c r="M128" i="3"/>
  <c r="M129" i="3"/>
  <c r="M130" i="3"/>
  <c r="M132" i="3"/>
  <c r="M141" i="3"/>
  <c r="M142" i="3"/>
  <c r="M143" i="3"/>
  <c r="M144" i="3"/>
  <c r="M174" i="3"/>
  <c r="M176" i="3"/>
  <c r="M178" i="3"/>
  <c r="M179" i="3"/>
  <c r="M180" i="3"/>
  <c r="M188" i="3"/>
  <c r="M199" i="3"/>
  <c r="M200" i="3"/>
  <c r="M224" i="3"/>
  <c r="M225" i="3"/>
  <c r="M226" i="3"/>
  <c r="M227" i="3"/>
  <c r="M228" i="3"/>
  <c r="M245" i="3"/>
  <c r="M248" i="3"/>
  <c r="M249" i="3"/>
  <c r="M251" i="3"/>
  <c r="M252" i="3"/>
  <c r="M273" i="3"/>
  <c r="M274" i="3"/>
  <c r="M275" i="3"/>
  <c r="M276" i="3"/>
  <c r="M292" i="3"/>
  <c r="M293" i="3"/>
  <c r="M294" i="3"/>
  <c r="M295" i="3"/>
  <c r="M296" i="3"/>
  <c r="M297" i="3"/>
  <c r="M298" i="3"/>
  <c r="M299" i="3"/>
  <c r="D23" i="3"/>
  <c r="E23" i="3" s="1"/>
  <c r="M280" i="3" s="1"/>
  <c r="J302" i="3"/>
  <c r="M302" i="3" s="1"/>
  <c r="J301" i="3"/>
  <c r="M301" i="3" s="1"/>
  <c r="J300" i="3"/>
  <c r="J299" i="3"/>
  <c r="J298" i="3"/>
  <c r="J297" i="3"/>
  <c r="J296" i="3"/>
  <c r="J295" i="3"/>
  <c r="J294" i="3"/>
  <c r="J293" i="3"/>
  <c r="J292" i="3"/>
  <c r="J291" i="3"/>
  <c r="L291" i="3" s="1"/>
  <c r="J290" i="3"/>
  <c r="J289" i="3"/>
  <c r="J288" i="3"/>
  <c r="M288" i="3" s="1"/>
  <c r="J287" i="3"/>
  <c r="J286" i="3"/>
  <c r="J285" i="3"/>
  <c r="J284" i="3"/>
  <c r="M284" i="3" s="1"/>
  <c r="J283" i="3"/>
  <c r="J282" i="3"/>
  <c r="M282" i="3" s="1"/>
  <c r="J281" i="3"/>
  <c r="J280" i="3"/>
  <c r="J279" i="3"/>
  <c r="J278" i="3"/>
  <c r="M278" i="3" s="1"/>
  <c r="J277" i="3"/>
  <c r="M277" i="3" s="1"/>
  <c r="J276" i="3"/>
  <c r="J275" i="3"/>
  <c r="L275" i="3" s="1"/>
  <c r="J274" i="3"/>
  <c r="J273" i="3"/>
  <c r="J272" i="3"/>
  <c r="J271" i="3"/>
  <c r="M271" i="3" s="1"/>
  <c r="J270" i="3"/>
  <c r="M270" i="3" s="1"/>
  <c r="J269" i="3"/>
  <c r="M269" i="3" s="1"/>
  <c r="J268" i="3"/>
  <c r="M268" i="3" s="1"/>
  <c r="J267" i="3"/>
  <c r="J266" i="3"/>
  <c r="J265" i="3"/>
  <c r="J264" i="3"/>
  <c r="M264" i="3" s="1"/>
  <c r="J263" i="3"/>
  <c r="M263" i="3" s="1"/>
  <c r="J262" i="3"/>
  <c r="M262" i="3" s="1"/>
  <c r="J261" i="3"/>
  <c r="M261" i="3" s="1"/>
  <c r="J260" i="3"/>
  <c r="M260" i="3" s="1"/>
  <c r="J259" i="3"/>
  <c r="J258" i="3"/>
  <c r="M258" i="3" s="1"/>
  <c r="J257" i="3"/>
  <c r="L257" i="3" s="1"/>
  <c r="J256" i="3"/>
  <c r="M256" i="3" s="1"/>
  <c r="J255" i="3"/>
  <c r="M255" i="3" s="1"/>
  <c r="J254" i="3"/>
  <c r="M254" i="3" s="1"/>
  <c r="J253" i="3"/>
  <c r="J252" i="3"/>
  <c r="J251" i="3"/>
  <c r="J250" i="3"/>
  <c r="J249" i="3"/>
  <c r="J248" i="3"/>
  <c r="J247" i="3"/>
  <c r="J246" i="3"/>
  <c r="J245" i="3"/>
  <c r="L245" i="3" s="1"/>
  <c r="J244" i="3"/>
  <c r="J243" i="3"/>
  <c r="J242" i="3"/>
  <c r="J241" i="3"/>
  <c r="J240" i="3"/>
  <c r="J239" i="3"/>
  <c r="M239" i="3" s="1"/>
  <c r="J238" i="3"/>
  <c r="J237" i="3"/>
  <c r="M237" i="3" s="1"/>
  <c r="J236" i="3"/>
  <c r="J235" i="3"/>
  <c r="M235" i="3" s="1"/>
  <c r="J234" i="3"/>
  <c r="M234" i="3" s="1"/>
  <c r="J233" i="3"/>
  <c r="M233" i="3" s="1"/>
  <c r="J232" i="3"/>
  <c r="J231" i="3"/>
  <c r="M231" i="3" s="1"/>
  <c r="J230" i="3"/>
  <c r="M230" i="3" s="1"/>
  <c r="J229" i="3"/>
  <c r="M229" i="3" s="1"/>
  <c r="J228" i="3"/>
  <c r="J227" i="3"/>
  <c r="J226" i="3"/>
  <c r="J225" i="3"/>
  <c r="J224" i="3"/>
  <c r="J223" i="3"/>
  <c r="J222" i="3"/>
  <c r="L222" i="3" s="1"/>
  <c r="J221" i="3"/>
  <c r="M221" i="3" s="1"/>
  <c r="J220" i="3"/>
  <c r="J219" i="3"/>
  <c r="J218" i="3"/>
  <c r="J217" i="3"/>
  <c r="J216" i="3"/>
  <c r="M216" i="3" s="1"/>
  <c r="J215" i="3"/>
  <c r="M215" i="3" s="1"/>
  <c r="J214" i="3"/>
  <c r="M214" i="3" s="1"/>
  <c r="J213" i="3"/>
  <c r="L213" i="3" s="1"/>
  <c r="J212" i="3"/>
  <c r="M212" i="3" s="1"/>
  <c r="J211" i="3"/>
  <c r="M211" i="3" s="1"/>
  <c r="J210" i="3"/>
  <c r="M210" i="3" s="1"/>
  <c r="J209" i="3"/>
  <c r="J208" i="3"/>
  <c r="M208" i="3" s="1"/>
  <c r="J207" i="3"/>
  <c r="M207" i="3" s="1"/>
  <c r="J206" i="3"/>
  <c r="M206" i="3" s="1"/>
  <c r="J205" i="3"/>
  <c r="J204" i="3"/>
  <c r="M204" i="3" s="1"/>
  <c r="J203" i="3"/>
  <c r="M203" i="3" s="1"/>
  <c r="J202" i="3"/>
  <c r="M202" i="3" s="1"/>
  <c r="J201" i="3"/>
  <c r="M201" i="3" s="1"/>
  <c r="J200" i="3"/>
  <c r="J199" i="3"/>
  <c r="J198" i="3"/>
  <c r="J197" i="3"/>
  <c r="J196" i="3"/>
  <c r="J195" i="3"/>
  <c r="J194" i="3"/>
  <c r="J193" i="3"/>
  <c r="J192" i="3"/>
  <c r="M192" i="3" s="1"/>
  <c r="J191" i="3"/>
  <c r="M191" i="3" s="1"/>
  <c r="J190" i="3"/>
  <c r="J189" i="3"/>
  <c r="J188" i="3"/>
  <c r="J187" i="3"/>
  <c r="J186" i="3"/>
  <c r="L186" i="3" s="1"/>
  <c r="J185" i="3"/>
  <c r="J184" i="3"/>
  <c r="M184" i="3" s="1"/>
  <c r="J183" i="3"/>
  <c r="M183" i="3" s="1"/>
  <c r="J182" i="3"/>
  <c r="M182" i="3" s="1"/>
  <c r="J181" i="3"/>
  <c r="M181" i="3" s="1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M167" i="3" s="1"/>
  <c r="J166" i="3"/>
  <c r="L166" i="3" s="1"/>
  <c r="J165" i="3"/>
  <c r="M165" i="3" s="1"/>
  <c r="J164" i="3"/>
  <c r="M164" i="3" s="1"/>
  <c r="J163" i="3"/>
  <c r="M163" i="3" s="1"/>
  <c r="J162" i="3"/>
  <c r="M162" i="3" s="1"/>
  <c r="J161" i="3"/>
  <c r="M161" i="3" s="1"/>
  <c r="J160" i="3"/>
  <c r="L160" i="3" s="1"/>
  <c r="J159" i="3"/>
  <c r="M159" i="3" s="1"/>
  <c r="J158" i="3"/>
  <c r="M158" i="3" s="1"/>
  <c r="J157" i="3"/>
  <c r="M157" i="3" s="1"/>
  <c r="J156" i="3"/>
  <c r="J155" i="3"/>
  <c r="M155" i="3" s="1"/>
  <c r="J154" i="3"/>
  <c r="M154" i="3" s="1"/>
  <c r="J153" i="3"/>
  <c r="M153" i="3" s="1"/>
  <c r="J152" i="3"/>
  <c r="M152" i="3" s="1"/>
  <c r="J151" i="3"/>
  <c r="M151" i="3" s="1"/>
  <c r="J150" i="3"/>
  <c r="J149" i="3"/>
  <c r="M149" i="3" s="1"/>
  <c r="J148" i="3"/>
  <c r="J147" i="3"/>
  <c r="J146" i="3"/>
  <c r="J145" i="3"/>
  <c r="M145" i="3" s="1"/>
  <c r="J144" i="3"/>
  <c r="J143" i="3"/>
  <c r="J142" i="3"/>
  <c r="J141" i="3"/>
  <c r="J140" i="3"/>
  <c r="M140" i="3" s="1"/>
  <c r="J139" i="3"/>
  <c r="M139" i="3" s="1"/>
  <c r="J138" i="3"/>
  <c r="J137" i="3"/>
  <c r="M137" i="3" s="1"/>
  <c r="J136" i="3"/>
  <c r="M136" i="3" s="1"/>
  <c r="J135" i="3"/>
  <c r="M135" i="3" s="1"/>
  <c r="J134" i="3"/>
  <c r="M134" i="3" s="1"/>
  <c r="J133" i="3"/>
  <c r="M133" i="3" s="1"/>
  <c r="J132" i="3"/>
  <c r="J131" i="3"/>
  <c r="J130" i="3"/>
  <c r="J129" i="3"/>
  <c r="L129" i="3" s="1"/>
  <c r="J128" i="3"/>
  <c r="J127" i="3"/>
  <c r="L127" i="3" s="1"/>
  <c r="J126" i="3"/>
  <c r="L126" i="3" s="1"/>
  <c r="J125" i="3"/>
  <c r="J124" i="3"/>
  <c r="J123" i="3"/>
  <c r="L123" i="3" s="1"/>
  <c r="J122" i="3"/>
  <c r="M122" i="3" s="1"/>
  <c r="J121" i="3"/>
  <c r="M121" i="3" s="1"/>
  <c r="J120" i="3"/>
  <c r="M120" i="3" s="1"/>
  <c r="J119" i="3"/>
  <c r="M119" i="3" s="1"/>
  <c r="J118" i="3"/>
  <c r="M118" i="3" s="1"/>
  <c r="J117" i="3"/>
  <c r="M117" i="3" s="1"/>
  <c r="J116" i="3"/>
  <c r="M116" i="3" s="1"/>
  <c r="J115" i="3"/>
  <c r="M115" i="3" s="1"/>
  <c r="J114" i="3"/>
  <c r="M114" i="3" s="1"/>
  <c r="J113" i="3"/>
  <c r="M113" i="3" s="1"/>
  <c r="J112" i="3"/>
  <c r="M112" i="3" s="1"/>
  <c r="J111" i="3"/>
  <c r="J110" i="3"/>
  <c r="M110" i="3" s="1"/>
  <c r="J109" i="3"/>
  <c r="M109" i="3" s="1"/>
  <c r="J108" i="3"/>
  <c r="J107" i="3"/>
  <c r="J106" i="3"/>
  <c r="M106" i="3" s="1"/>
  <c r="J105" i="3"/>
  <c r="M105" i="3" s="1"/>
  <c r="J104" i="3"/>
  <c r="J103" i="3"/>
  <c r="J102" i="3"/>
  <c r="J101" i="3"/>
  <c r="J100" i="3"/>
  <c r="M100" i="3" s="1"/>
  <c r="J99" i="3"/>
  <c r="L99" i="3" s="1"/>
  <c r="J98" i="3"/>
  <c r="M98" i="3" s="1"/>
  <c r="J97" i="3"/>
  <c r="M97" i="3" s="1"/>
  <c r="J96" i="3"/>
  <c r="J95" i="3"/>
  <c r="J94" i="3"/>
  <c r="J93" i="3"/>
  <c r="J92" i="3"/>
  <c r="L92" i="3" s="1"/>
  <c r="J91" i="3"/>
  <c r="M91" i="3" s="1"/>
  <c r="J90" i="3"/>
  <c r="J89" i="3"/>
  <c r="M89" i="3" s="1"/>
  <c r="J88" i="3"/>
  <c r="M88" i="3" s="1"/>
  <c r="J87" i="3"/>
  <c r="M87" i="3" s="1"/>
  <c r="J86" i="3"/>
  <c r="M86" i="3" s="1"/>
  <c r="J85" i="3"/>
  <c r="J84" i="3"/>
  <c r="J83" i="3"/>
  <c r="J82" i="3"/>
  <c r="J81" i="3"/>
  <c r="J80" i="3"/>
  <c r="J79" i="3"/>
  <c r="M79" i="3" s="1"/>
  <c r="J78" i="3"/>
  <c r="J77" i="3"/>
  <c r="J76" i="3"/>
  <c r="J75" i="3"/>
  <c r="M75" i="3" s="1"/>
  <c r="J74" i="3"/>
  <c r="J73" i="3"/>
  <c r="M73" i="3" s="1"/>
  <c r="J72" i="3"/>
  <c r="L72" i="3" s="1"/>
  <c r="J71" i="3"/>
  <c r="M71" i="3" s="1"/>
  <c r="J70" i="3"/>
  <c r="M70" i="3" s="1"/>
  <c r="J69" i="3"/>
  <c r="J68" i="3"/>
  <c r="M68" i="3" s="1"/>
  <c r="J67" i="3"/>
  <c r="M67" i="3" s="1"/>
  <c r="J66" i="3"/>
  <c r="M66" i="3" s="1"/>
  <c r="J65" i="3"/>
  <c r="M65" i="3" s="1"/>
  <c r="J64" i="3"/>
  <c r="L64" i="3" s="1"/>
  <c r="J63" i="3"/>
  <c r="M63" i="3" s="1"/>
  <c r="J62" i="3"/>
  <c r="M62" i="3" s="1"/>
  <c r="J61" i="3"/>
  <c r="M61" i="3" s="1"/>
  <c r="J60" i="3"/>
  <c r="J59" i="3"/>
  <c r="J58" i="3"/>
  <c r="M58" i="3" s="1"/>
  <c r="J57" i="3"/>
  <c r="J56" i="3"/>
  <c r="J55" i="3"/>
  <c r="J54" i="3"/>
  <c r="M54" i="3" s="1"/>
  <c r="J53" i="3"/>
  <c r="M53" i="3" s="1"/>
  <c r="J52" i="3"/>
  <c r="M52" i="3" s="1"/>
  <c r="J51" i="3"/>
  <c r="M51" i="3" s="1"/>
  <c r="J50" i="3"/>
  <c r="M50" i="3" s="1"/>
  <c r="J49" i="3"/>
  <c r="J48" i="3"/>
  <c r="L48" i="3" s="1"/>
  <c r="J47" i="3"/>
  <c r="L47" i="3" s="1"/>
  <c r="J46" i="3"/>
  <c r="M46" i="3" s="1"/>
  <c r="J45" i="3"/>
  <c r="M45" i="3" s="1"/>
  <c r="J44" i="3"/>
  <c r="J43" i="3"/>
  <c r="M43" i="3" s="1"/>
  <c r="J42" i="3"/>
  <c r="J41" i="3"/>
  <c r="L41" i="3" s="1"/>
  <c r="J40" i="3"/>
  <c r="M40" i="3" s="1"/>
  <c r="J39" i="3"/>
  <c r="M39" i="3" s="1"/>
  <c r="J38" i="3"/>
  <c r="L38" i="3" s="1"/>
  <c r="J37" i="3"/>
  <c r="J36" i="3"/>
  <c r="J35" i="3"/>
  <c r="J34" i="3"/>
  <c r="J33" i="3"/>
  <c r="L33" i="3" s="1"/>
  <c r="J32" i="3"/>
  <c r="J31" i="3"/>
  <c r="J30" i="3"/>
  <c r="J29" i="3"/>
  <c r="J28" i="3"/>
  <c r="J27" i="3"/>
  <c r="J26" i="3"/>
  <c r="L26" i="3" s="1"/>
  <c r="J25" i="3"/>
  <c r="M25" i="3" s="1"/>
  <c r="J24" i="3"/>
  <c r="M24" i="3" s="1"/>
  <c r="J23" i="3"/>
  <c r="M23" i="3" s="1"/>
  <c r="J22" i="3"/>
  <c r="M22" i="3" s="1"/>
  <c r="J21" i="3"/>
  <c r="L21" i="3" s="1"/>
  <c r="J20" i="3"/>
  <c r="M20" i="3" s="1"/>
  <c r="J19" i="3"/>
  <c r="M19" i="3" s="1"/>
  <c r="J18" i="3"/>
  <c r="M18" i="3" s="1"/>
  <c r="J17" i="3"/>
  <c r="M17" i="3" s="1"/>
  <c r="J16" i="3"/>
  <c r="M16" i="3" s="1"/>
  <c r="J15" i="3"/>
  <c r="D15" i="3"/>
  <c r="E15" i="3" s="1"/>
  <c r="J14" i="3"/>
  <c r="M14" i="3" s="1"/>
  <c r="J13" i="3"/>
  <c r="L13" i="3" s="1"/>
  <c r="J12" i="3"/>
  <c r="J11" i="3"/>
  <c r="J10" i="3"/>
  <c r="J9" i="3"/>
  <c r="M9" i="3" s="1"/>
  <c r="J8" i="3"/>
  <c r="M8" i="3" s="1"/>
  <c r="D8" i="3"/>
  <c r="J7" i="3"/>
  <c r="M7" i="3" s="1"/>
  <c r="D7" i="3"/>
  <c r="E7" i="3" s="1"/>
  <c r="J6" i="3"/>
  <c r="L6" i="3" s="1"/>
  <c r="J5" i="3"/>
  <c r="M5" i="3" s="1"/>
  <c r="J4" i="3"/>
  <c r="M4" i="3" s="1"/>
  <c r="J3" i="3"/>
  <c r="M3" i="3" s="1"/>
  <c r="L120" i="2"/>
  <c r="L192" i="2"/>
  <c r="L261" i="2"/>
  <c r="L263" i="2"/>
  <c r="L265" i="2"/>
  <c r="L284" i="2"/>
  <c r="J302" i="2"/>
  <c r="L302" i="2" s="1"/>
  <c r="J301" i="2"/>
  <c r="J300" i="2"/>
  <c r="J299" i="2"/>
  <c r="J298" i="2"/>
  <c r="J297" i="2"/>
  <c r="J296" i="2"/>
  <c r="L296" i="2" s="1"/>
  <c r="J295" i="2"/>
  <c r="L295" i="2" s="1"/>
  <c r="J294" i="2"/>
  <c r="J293" i="2"/>
  <c r="J292" i="2"/>
  <c r="J291" i="2"/>
  <c r="L291" i="2" s="1"/>
  <c r="J290" i="2"/>
  <c r="J289" i="2"/>
  <c r="J288" i="2"/>
  <c r="J287" i="2"/>
  <c r="J286" i="2"/>
  <c r="J285" i="2"/>
  <c r="J284" i="2"/>
  <c r="J283" i="2"/>
  <c r="J282" i="2"/>
  <c r="L282" i="2" s="1"/>
  <c r="J281" i="2"/>
  <c r="J280" i="2"/>
  <c r="J279" i="2"/>
  <c r="J278" i="2"/>
  <c r="J277" i="2"/>
  <c r="J276" i="2"/>
  <c r="J275" i="2"/>
  <c r="L275" i="2" s="1"/>
  <c r="J274" i="2"/>
  <c r="J273" i="2"/>
  <c r="J272" i="2"/>
  <c r="J271" i="2"/>
  <c r="L271" i="2" s="1"/>
  <c r="J270" i="2"/>
  <c r="L270" i="2" s="1"/>
  <c r="J269" i="2"/>
  <c r="J268" i="2"/>
  <c r="J267" i="2"/>
  <c r="J266" i="2"/>
  <c r="J265" i="2"/>
  <c r="J264" i="2"/>
  <c r="J263" i="2"/>
  <c r="J262" i="2"/>
  <c r="J261" i="2"/>
  <c r="J260" i="2"/>
  <c r="J259" i="2"/>
  <c r="J258" i="2"/>
  <c r="L258" i="2" s="1"/>
  <c r="J257" i="2"/>
  <c r="L257" i="2" s="1"/>
  <c r="J256" i="2"/>
  <c r="J255" i="2"/>
  <c r="L255" i="2" s="1"/>
  <c r="J254" i="2"/>
  <c r="L254" i="2" s="1"/>
  <c r="J253" i="2"/>
  <c r="J252" i="2"/>
  <c r="J251" i="2"/>
  <c r="L251" i="2" s="1"/>
  <c r="J250" i="2"/>
  <c r="J249" i="2"/>
  <c r="J248" i="2"/>
  <c r="L248" i="2" s="1"/>
  <c r="J247" i="2"/>
  <c r="J246" i="2"/>
  <c r="J245" i="2"/>
  <c r="L245" i="2" s="1"/>
  <c r="J244" i="2"/>
  <c r="L244" i="2" s="1"/>
  <c r="J243" i="2"/>
  <c r="L243" i="2" s="1"/>
  <c r="J242" i="2"/>
  <c r="L242" i="2" s="1"/>
  <c r="J241" i="2"/>
  <c r="J240" i="2"/>
  <c r="J239" i="2"/>
  <c r="L239" i="2" s="1"/>
  <c r="J238" i="2"/>
  <c r="J237" i="2"/>
  <c r="J236" i="2"/>
  <c r="L236" i="2" s="1"/>
  <c r="J235" i="2"/>
  <c r="J234" i="2"/>
  <c r="L234" i="2" s="1"/>
  <c r="J233" i="2"/>
  <c r="J232" i="2"/>
  <c r="J231" i="2"/>
  <c r="J230" i="2"/>
  <c r="L230" i="2" s="1"/>
  <c r="J229" i="2"/>
  <c r="J228" i="2"/>
  <c r="L228" i="2" s="1"/>
  <c r="J227" i="2"/>
  <c r="L227" i="2" s="1"/>
  <c r="J226" i="2"/>
  <c r="J225" i="2"/>
  <c r="J224" i="2"/>
  <c r="L224" i="2" s="1"/>
  <c r="J223" i="2"/>
  <c r="J222" i="2"/>
  <c r="L222" i="2" s="1"/>
  <c r="J221" i="2"/>
  <c r="L221" i="2" s="1"/>
  <c r="J220" i="2"/>
  <c r="L220" i="2" s="1"/>
  <c r="J219" i="2"/>
  <c r="L219" i="2" s="1"/>
  <c r="J218" i="2"/>
  <c r="J217" i="2"/>
  <c r="J216" i="2"/>
  <c r="J215" i="2"/>
  <c r="J214" i="2"/>
  <c r="L214" i="2" s="1"/>
  <c r="J213" i="2"/>
  <c r="L213" i="2" s="1"/>
  <c r="J212" i="2"/>
  <c r="L212" i="2" s="1"/>
  <c r="J211" i="2"/>
  <c r="J210" i="2"/>
  <c r="J209" i="2"/>
  <c r="J208" i="2"/>
  <c r="J207" i="2"/>
  <c r="J206" i="2"/>
  <c r="L206" i="2" s="1"/>
  <c r="J205" i="2"/>
  <c r="J204" i="2"/>
  <c r="J203" i="2"/>
  <c r="J202" i="2"/>
  <c r="J201" i="2"/>
  <c r="J200" i="2"/>
  <c r="J199" i="2"/>
  <c r="J198" i="2"/>
  <c r="J197" i="2"/>
  <c r="J196" i="2"/>
  <c r="L196" i="2" s="1"/>
  <c r="J195" i="2"/>
  <c r="J194" i="2"/>
  <c r="L194" i="2" s="1"/>
  <c r="J193" i="2"/>
  <c r="J192" i="2"/>
  <c r="J191" i="2"/>
  <c r="L191" i="2" s="1"/>
  <c r="J190" i="2"/>
  <c r="J189" i="2"/>
  <c r="J188" i="2"/>
  <c r="J187" i="2"/>
  <c r="J186" i="2"/>
  <c r="L186" i="2" s="1"/>
  <c r="J185" i="2"/>
  <c r="J184" i="2"/>
  <c r="J183" i="2"/>
  <c r="J182" i="2"/>
  <c r="J181" i="2"/>
  <c r="J180" i="2"/>
  <c r="J179" i="2"/>
  <c r="J178" i="2"/>
  <c r="L178" i="2" s="1"/>
  <c r="J177" i="2"/>
  <c r="J176" i="2"/>
  <c r="J175" i="2"/>
  <c r="J174" i="2"/>
  <c r="L174" i="2" s="1"/>
  <c r="J173" i="2"/>
  <c r="L173" i="2" s="1"/>
  <c r="J172" i="2"/>
  <c r="J171" i="2"/>
  <c r="J170" i="2"/>
  <c r="J169" i="2"/>
  <c r="L169" i="2" s="1"/>
  <c r="J168" i="2"/>
  <c r="J167" i="2"/>
  <c r="L167" i="2" s="1"/>
  <c r="J166" i="2"/>
  <c r="L166" i="2" s="1"/>
  <c r="J165" i="2"/>
  <c r="J164" i="2"/>
  <c r="L164" i="2" s="1"/>
  <c r="J163" i="2"/>
  <c r="J162" i="2"/>
  <c r="J161" i="2"/>
  <c r="L161" i="2" s="1"/>
  <c r="J160" i="2"/>
  <c r="J159" i="2"/>
  <c r="J158" i="2"/>
  <c r="L158" i="2" s="1"/>
  <c r="J157" i="2"/>
  <c r="J156" i="2"/>
  <c r="J155" i="2"/>
  <c r="J154" i="2"/>
  <c r="J153" i="2"/>
  <c r="J152" i="2"/>
  <c r="J151" i="2"/>
  <c r="J150" i="2"/>
  <c r="J149" i="2"/>
  <c r="L149" i="2" s="1"/>
  <c r="J148" i="2"/>
  <c r="J147" i="2"/>
  <c r="J146" i="2"/>
  <c r="J145" i="2"/>
  <c r="J144" i="2"/>
  <c r="J143" i="2"/>
  <c r="J142" i="2"/>
  <c r="J141" i="2"/>
  <c r="L141" i="2" s="1"/>
  <c r="J140" i="2"/>
  <c r="J139" i="2"/>
  <c r="J138" i="2"/>
  <c r="J137" i="2"/>
  <c r="L137" i="2" s="1"/>
  <c r="J136" i="2"/>
  <c r="J135" i="2"/>
  <c r="J134" i="2"/>
  <c r="L134" i="2" s="1"/>
  <c r="J133" i="2"/>
  <c r="J132" i="2"/>
  <c r="L132" i="2" s="1"/>
  <c r="J131" i="2"/>
  <c r="J130" i="2"/>
  <c r="L130" i="2" s="1"/>
  <c r="J129" i="2"/>
  <c r="L129" i="2" s="1"/>
  <c r="J128" i="2"/>
  <c r="J127" i="2"/>
  <c r="J126" i="2"/>
  <c r="J125" i="2"/>
  <c r="L125" i="2" s="1"/>
  <c r="J124" i="2"/>
  <c r="L124" i="2" s="1"/>
  <c r="J123" i="2"/>
  <c r="L123" i="2" s="1"/>
  <c r="J122" i="2"/>
  <c r="L122" i="2" s="1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L105" i="2" s="1"/>
  <c r="J104" i="2"/>
  <c r="J103" i="2"/>
  <c r="J102" i="2"/>
  <c r="J101" i="2"/>
  <c r="J100" i="2"/>
  <c r="J99" i="2"/>
  <c r="L99" i="2" s="1"/>
  <c r="J98" i="2"/>
  <c r="L98" i="2" s="1"/>
  <c r="J97" i="2"/>
  <c r="J96" i="2"/>
  <c r="J95" i="2"/>
  <c r="J94" i="2"/>
  <c r="J93" i="2"/>
  <c r="J92" i="2"/>
  <c r="L92" i="2" s="1"/>
  <c r="J91" i="2"/>
  <c r="J90" i="2"/>
  <c r="J89" i="2"/>
  <c r="J88" i="2"/>
  <c r="J87" i="2"/>
  <c r="J86" i="2"/>
  <c r="L86" i="2" s="1"/>
  <c r="J85" i="2"/>
  <c r="J84" i="2"/>
  <c r="J83" i="2"/>
  <c r="J82" i="2"/>
  <c r="L82" i="2" s="1"/>
  <c r="J81" i="2"/>
  <c r="J80" i="2"/>
  <c r="J79" i="2"/>
  <c r="J78" i="2"/>
  <c r="J77" i="2"/>
  <c r="J76" i="2"/>
  <c r="J75" i="2"/>
  <c r="L75" i="2" s="1"/>
  <c r="J74" i="2"/>
  <c r="J73" i="2"/>
  <c r="J72" i="2"/>
  <c r="J71" i="2"/>
  <c r="J70" i="2"/>
  <c r="J69" i="2"/>
  <c r="J68" i="2"/>
  <c r="J67" i="2"/>
  <c r="L67" i="2" s="1"/>
  <c r="J66" i="2"/>
  <c r="L66" i="2" s="1"/>
  <c r="J65" i="2"/>
  <c r="J64" i="2"/>
  <c r="J63" i="2"/>
  <c r="J62" i="2"/>
  <c r="J61" i="2"/>
  <c r="J60" i="2"/>
  <c r="J59" i="2"/>
  <c r="L59" i="2" s="1"/>
  <c r="J58" i="2"/>
  <c r="J57" i="2"/>
  <c r="J56" i="2"/>
  <c r="L56" i="2" s="1"/>
  <c r="J55" i="2"/>
  <c r="J54" i="2"/>
  <c r="J53" i="2"/>
  <c r="J52" i="2"/>
  <c r="J51" i="2"/>
  <c r="J50" i="2"/>
  <c r="L50" i="2" s="1"/>
  <c r="J49" i="2"/>
  <c r="J48" i="2"/>
  <c r="L48" i="2" s="1"/>
  <c r="J47" i="2"/>
  <c r="L47" i="2" s="1"/>
  <c r="J46" i="2"/>
  <c r="L46" i="2" s="1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L26" i="2" s="1"/>
  <c r="J25" i="2"/>
  <c r="J24" i="2"/>
  <c r="J23" i="2"/>
  <c r="J22" i="2"/>
  <c r="J21" i="2"/>
  <c r="J20" i="2"/>
  <c r="J19" i="2"/>
  <c r="L19" i="2" s="1"/>
  <c r="J18" i="2"/>
  <c r="J17" i="2"/>
  <c r="J16" i="2"/>
  <c r="J15" i="2"/>
  <c r="D15" i="2"/>
  <c r="E15" i="2" s="1"/>
  <c r="J14" i="2"/>
  <c r="J13" i="2"/>
  <c r="L13" i="2" s="1"/>
  <c r="J12" i="2"/>
  <c r="J11" i="2"/>
  <c r="J10" i="2"/>
  <c r="L10" i="2" s="1"/>
  <c r="J9" i="2"/>
  <c r="J8" i="2"/>
  <c r="D8" i="2"/>
  <c r="J7" i="2"/>
  <c r="D7" i="2"/>
  <c r="E7" i="2" s="1"/>
  <c r="J6" i="2"/>
  <c r="L6" i="2" s="1"/>
  <c r="J5" i="2"/>
  <c r="L5" i="2" s="1"/>
  <c r="J4" i="2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D7" i="1"/>
  <c r="E7" i="1" s="1"/>
  <c r="K4" i="1" s="1"/>
  <c r="D8" i="1"/>
  <c r="M138" i="3" l="1"/>
  <c r="M187" i="3"/>
  <c r="M186" i="3"/>
  <c r="M286" i="3"/>
  <c r="M168" i="3"/>
  <c r="M240" i="3"/>
  <c r="M287" i="3"/>
  <c r="M177" i="3"/>
  <c r="M26" i="3"/>
  <c r="M90" i="3"/>
  <c r="M279" i="3"/>
  <c r="M189" i="3"/>
  <c r="M283" i="3"/>
  <c r="M285" i="3"/>
  <c r="M223" i="3"/>
  <c r="M12" i="3"/>
  <c r="M232" i="3"/>
  <c r="M103" i="3"/>
  <c r="M150" i="3"/>
  <c r="M222" i="3"/>
  <c r="M166" i="3"/>
  <c r="M80" i="3"/>
  <c r="M108" i="3"/>
  <c r="M185" i="3"/>
  <c r="M272" i="3"/>
  <c r="M213" i="3"/>
  <c r="M156" i="3"/>
  <c r="M6" i="3"/>
  <c r="M198" i="3"/>
  <c r="M190" i="3"/>
  <c r="M281" i="3"/>
  <c r="M69" i="3"/>
  <c r="M31" i="3"/>
  <c r="M247" i="3"/>
  <c r="M28" i="3"/>
  <c r="M42" i="3"/>
  <c r="M209" i="3"/>
  <c r="M300" i="3"/>
  <c r="M131" i="3"/>
  <c r="M246" i="3"/>
  <c r="M37" i="3"/>
  <c r="M85" i="3"/>
  <c r="M99" i="3"/>
  <c r="M250" i="3"/>
  <c r="L255" i="3"/>
  <c r="M44" i="3"/>
  <c r="M175" i="3"/>
  <c r="M72" i="3"/>
  <c r="M15" i="3"/>
  <c r="M111" i="3"/>
  <c r="M205" i="3"/>
  <c r="M253" i="3"/>
  <c r="N123" i="3"/>
  <c r="N59" i="3"/>
  <c r="O59" i="3" s="1"/>
  <c r="N130" i="3"/>
  <c r="N173" i="3"/>
  <c r="N270" i="3"/>
  <c r="N295" i="3"/>
  <c r="N77" i="3"/>
  <c r="N220" i="3"/>
  <c r="N8" i="3"/>
  <c r="N268" i="3"/>
  <c r="O268" i="3" s="1"/>
  <c r="N271" i="3"/>
  <c r="O271" i="3" s="1"/>
  <c r="L82" i="3"/>
  <c r="M56" i="3"/>
  <c r="M127" i="3"/>
  <c r="M102" i="3"/>
  <c r="M173" i="3"/>
  <c r="M244" i="3"/>
  <c r="M220" i="3"/>
  <c r="M196" i="3"/>
  <c r="M172" i="3"/>
  <c r="M148" i="3"/>
  <c r="M124" i="3"/>
  <c r="L221" i="3"/>
  <c r="M291" i="3"/>
  <c r="M267" i="3"/>
  <c r="M243" i="3"/>
  <c r="M219" i="3"/>
  <c r="M195" i="3"/>
  <c r="M171" i="3"/>
  <c r="M147" i="3"/>
  <c r="N39" i="3"/>
  <c r="L214" i="3"/>
  <c r="M10" i="3"/>
  <c r="M33" i="3"/>
  <c r="M104" i="3"/>
  <c r="M197" i="3"/>
  <c r="M34" i="3"/>
  <c r="M57" i="3"/>
  <c r="L173" i="3"/>
  <c r="M101" i="3"/>
  <c r="M290" i="3"/>
  <c r="M217" i="3"/>
  <c r="M32" i="3"/>
  <c r="M55" i="3"/>
  <c r="M218" i="3"/>
  <c r="L161" i="3"/>
  <c r="M236" i="3"/>
  <c r="M92" i="3"/>
  <c r="M169" i="3"/>
  <c r="N129" i="3"/>
  <c r="L139" i="3"/>
  <c r="L207" i="3"/>
  <c r="M259" i="3"/>
  <c r="N127" i="3"/>
  <c r="M11" i="3"/>
  <c r="M125" i="3"/>
  <c r="M266" i="3"/>
  <c r="M146" i="3"/>
  <c r="M241" i="3"/>
  <c r="M238" i="3"/>
  <c r="M21" i="3"/>
  <c r="K150" i="3"/>
  <c r="M257" i="3"/>
  <c r="M41" i="3"/>
  <c r="M170" i="3"/>
  <c r="M160" i="3"/>
  <c r="M64" i="3"/>
  <c r="M126" i="3"/>
  <c r="M194" i="3"/>
  <c r="M289" i="3"/>
  <c r="M193" i="3"/>
  <c r="N291" i="3"/>
  <c r="M81" i="3"/>
  <c r="M242" i="3"/>
  <c r="M265" i="3"/>
  <c r="M38" i="3"/>
  <c r="M13" i="3"/>
  <c r="L195" i="2"/>
  <c r="L290" i="2"/>
  <c r="L27" i="2"/>
  <c r="L171" i="2"/>
  <c r="K3" i="2"/>
  <c r="M3" i="2"/>
  <c r="L272" i="2"/>
  <c r="L153" i="2"/>
  <c r="L177" i="2"/>
  <c r="L201" i="2"/>
  <c r="L3" i="2"/>
  <c r="L185" i="2"/>
  <c r="L209" i="2"/>
  <c r="L233" i="2"/>
  <c r="L281" i="2"/>
  <c r="L162" i="2"/>
  <c r="L115" i="2"/>
  <c r="L112" i="2"/>
  <c r="L20" i="2"/>
  <c r="L187" i="2"/>
  <c r="L232" i="2"/>
  <c r="L65" i="2"/>
  <c r="L138" i="2"/>
  <c r="L208" i="2"/>
  <c r="L44" i="2"/>
  <c r="L154" i="2"/>
  <c r="L155" i="2"/>
  <c r="L203" i="2"/>
  <c r="L250" i="2"/>
  <c r="L298" i="2"/>
  <c r="L24" i="2"/>
  <c r="L204" i="2"/>
  <c r="L299" i="2"/>
  <c r="L23" i="2"/>
  <c r="L39" i="2"/>
  <c r="L157" i="2"/>
  <c r="L205" i="2"/>
  <c r="L252" i="2"/>
  <c r="L276" i="2"/>
  <c r="L300" i="2"/>
  <c r="M244" i="2"/>
  <c r="N244" i="2" s="1"/>
  <c r="M133" i="2"/>
  <c r="N133" i="2" s="1"/>
  <c r="M41" i="2"/>
  <c r="N41" i="2" s="1"/>
  <c r="L179" i="2"/>
  <c r="L182" i="2"/>
  <c r="L229" i="2"/>
  <c r="L253" i="2"/>
  <c r="L301" i="2"/>
  <c r="L170" i="2"/>
  <c r="L119" i="2"/>
  <c r="L109" i="2"/>
  <c r="K3" i="1"/>
  <c r="L3" i="1" s="1"/>
  <c r="L94" i="3"/>
  <c r="L130" i="3"/>
  <c r="L274" i="3"/>
  <c r="L8" i="3"/>
  <c r="L34" i="3"/>
  <c r="L22" i="3"/>
  <c r="L124" i="3"/>
  <c r="L149" i="3"/>
  <c r="L277" i="3"/>
  <c r="L125" i="3"/>
  <c r="L100" i="3"/>
  <c r="L113" i="3"/>
  <c r="L164" i="3"/>
  <c r="L137" i="3"/>
  <c r="L178" i="3"/>
  <c r="L226" i="3"/>
  <c r="L265" i="3"/>
  <c r="L101" i="3"/>
  <c r="K293" i="3"/>
  <c r="K281" i="3"/>
  <c r="K269" i="3"/>
  <c r="K257" i="3"/>
  <c r="K245" i="3"/>
  <c r="K233" i="3"/>
  <c r="K221" i="3"/>
  <c r="N221" i="3" s="1"/>
  <c r="K209" i="3"/>
  <c r="K197" i="3"/>
  <c r="K185" i="3"/>
  <c r="K173" i="3"/>
  <c r="K161" i="3"/>
  <c r="K149" i="3"/>
  <c r="N149" i="3" s="1"/>
  <c r="K137" i="3"/>
  <c r="K125" i="3"/>
  <c r="N125" i="3" s="1"/>
  <c r="K113" i="3"/>
  <c r="K101" i="3"/>
  <c r="N101" i="3" s="1"/>
  <c r="K300" i="3"/>
  <c r="K288" i="3"/>
  <c r="K276" i="3"/>
  <c r="K264" i="3"/>
  <c r="K252" i="3"/>
  <c r="K240" i="3"/>
  <c r="K228" i="3"/>
  <c r="K216" i="3"/>
  <c r="K204" i="3"/>
  <c r="K192" i="3"/>
  <c r="N192" i="3" s="1"/>
  <c r="O192" i="3" s="1"/>
  <c r="K180" i="3"/>
  <c r="N180" i="3" s="1"/>
  <c r="K168" i="3"/>
  <c r="K156" i="3"/>
  <c r="K144" i="3"/>
  <c r="K132" i="3"/>
  <c r="N132" i="3" s="1"/>
  <c r="O132" i="3" s="1"/>
  <c r="K120" i="3"/>
  <c r="K108" i="3"/>
  <c r="K295" i="3"/>
  <c r="K283" i="3"/>
  <c r="K271" i="3"/>
  <c r="K259" i="3"/>
  <c r="K247" i="3"/>
  <c r="K235" i="3"/>
  <c r="K302" i="3"/>
  <c r="N302" i="3" s="1"/>
  <c r="O302" i="3" s="1"/>
  <c r="K290" i="3"/>
  <c r="K278" i="3"/>
  <c r="K266" i="3"/>
  <c r="K254" i="3"/>
  <c r="N254" i="3" s="1"/>
  <c r="O254" i="3" s="1"/>
  <c r="K242" i="3"/>
  <c r="K297" i="3"/>
  <c r="K285" i="3"/>
  <c r="K273" i="3"/>
  <c r="N273" i="3" s="1"/>
  <c r="O273" i="3" s="1"/>
  <c r="K292" i="3"/>
  <c r="K299" i="3"/>
  <c r="K287" i="3"/>
  <c r="K275" i="3"/>
  <c r="N275" i="3" s="1"/>
  <c r="O275" i="3" s="1"/>
  <c r="K263" i="3"/>
  <c r="N263" i="3" s="1"/>
  <c r="O263" i="3" s="1"/>
  <c r="K268" i="3"/>
  <c r="K207" i="3"/>
  <c r="K189" i="3"/>
  <c r="K112" i="3"/>
  <c r="K104" i="3"/>
  <c r="K296" i="3"/>
  <c r="K291" i="3"/>
  <c r="K225" i="3"/>
  <c r="K222" i="3"/>
  <c r="K195" i="3"/>
  <c r="K186" i="3"/>
  <c r="K172" i="3"/>
  <c r="K158" i="3"/>
  <c r="K89" i="3"/>
  <c r="K301" i="3"/>
  <c r="K256" i="3"/>
  <c r="K136" i="3"/>
  <c r="K128" i="3"/>
  <c r="K286" i="3"/>
  <c r="K272" i="3"/>
  <c r="K260" i="3"/>
  <c r="K219" i="3"/>
  <c r="N219" i="3" s="1"/>
  <c r="O219" i="3" s="1"/>
  <c r="K183" i="3"/>
  <c r="N183" i="3" s="1"/>
  <c r="O183" i="3" s="1"/>
  <c r="K169" i="3"/>
  <c r="N169" i="3" s="1"/>
  <c r="O169" i="3" s="1"/>
  <c r="K155" i="3"/>
  <c r="K147" i="3"/>
  <c r="K117" i="3"/>
  <c r="N117" i="3" s="1"/>
  <c r="O117" i="3" s="1"/>
  <c r="K206" i="3"/>
  <c r="N206" i="3" s="1"/>
  <c r="O206" i="3" s="1"/>
  <c r="K280" i="3"/>
  <c r="K238" i="3"/>
  <c r="K203" i="3"/>
  <c r="N203" i="3" s="1"/>
  <c r="K241" i="3"/>
  <c r="K294" i="3"/>
  <c r="K218" i="3"/>
  <c r="K215" i="3"/>
  <c r="K289" i="3"/>
  <c r="K267" i="3"/>
  <c r="K230" i="3"/>
  <c r="K284" i="3"/>
  <c r="N284" i="3" s="1"/>
  <c r="K255" i="3"/>
  <c r="K270" i="3"/>
  <c r="K279" i="3"/>
  <c r="K258" i="3"/>
  <c r="N258" i="3" s="1"/>
  <c r="O258" i="3" s="1"/>
  <c r="K223" i="3"/>
  <c r="K202" i="3"/>
  <c r="K194" i="3"/>
  <c r="N194" i="3" s="1"/>
  <c r="O194" i="3" s="1"/>
  <c r="K124" i="3"/>
  <c r="K121" i="3"/>
  <c r="K118" i="3"/>
  <c r="K65" i="3"/>
  <c r="K39" i="3"/>
  <c r="K34" i="3"/>
  <c r="N34" i="3" s="1"/>
  <c r="K22" i="3"/>
  <c r="K232" i="3"/>
  <c r="K227" i="3"/>
  <c r="N227" i="3" s="1"/>
  <c r="O227" i="3" s="1"/>
  <c r="K146" i="3"/>
  <c r="K133" i="3"/>
  <c r="N133" i="3" s="1"/>
  <c r="O133" i="3" s="1"/>
  <c r="K97" i="3"/>
  <c r="K86" i="3"/>
  <c r="N86" i="3" s="1"/>
  <c r="K78" i="3"/>
  <c r="K57" i="3"/>
  <c r="K44" i="3"/>
  <c r="K95" i="3"/>
  <c r="K25" i="3"/>
  <c r="K166" i="3"/>
  <c r="K153" i="3"/>
  <c r="K130" i="3"/>
  <c r="K29" i="3"/>
  <c r="N29" i="3" s="1"/>
  <c r="O29" i="3" s="1"/>
  <c r="K17" i="3"/>
  <c r="N17" i="3" s="1"/>
  <c r="O17" i="3" s="1"/>
  <c r="K10" i="3"/>
  <c r="N10" i="3" s="1"/>
  <c r="O10" i="3" s="1"/>
  <c r="K12" i="3"/>
  <c r="K154" i="3"/>
  <c r="K250" i="3"/>
  <c r="K243" i="3"/>
  <c r="N243" i="3" s="1"/>
  <c r="K198" i="3"/>
  <c r="K114" i="3"/>
  <c r="N114" i="3" s="1"/>
  <c r="O114" i="3" s="1"/>
  <c r="K70" i="3"/>
  <c r="K62" i="3"/>
  <c r="N62" i="3" s="1"/>
  <c r="O62" i="3" s="1"/>
  <c r="K49" i="3"/>
  <c r="K3" i="3"/>
  <c r="N3" i="3" s="1"/>
  <c r="O3" i="3" s="1"/>
  <c r="K188" i="3"/>
  <c r="K181" i="3"/>
  <c r="N181" i="3" s="1"/>
  <c r="O181" i="3" s="1"/>
  <c r="K210" i="3"/>
  <c r="K105" i="3"/>
  <c r="N105" i="3" s="1"/>
  <c r="K94" i="3"/>
  <c r="K83" i="3"/>
  <c r="K41" i="3"/>
  <c r="K36" i="3"/>
  <c r="K24" i="3"/>
  <c r="N24" i="3" s="1"/>
  <c r="O24" i="3" s="1"/>
  <c r="K298" i="3"/>
  <c r="K249" i="3"/>
  <c r="K231" i="3"/>
  <c r="N231" i="3" s="1"/>
  <c r="O231" i="3" s="1"/>
  <c r="K214" i="3"/>
  <c r="N214" i="3" s="1"/>
  <c r="K190" i="3"/>
  <c r="K176" i="3"/>
  <c r="K139" i="3"/>
  <c r="N139" i="3" s="1"/>
  <c r="O139" i="3" s="1"/>
  <c r="K91" i="3"/>
  <c r="N91" i="3" s="1"/>
  <c r="O91" i="3" s="1"/>
  <c r="K75" i="3"/>
  <c r="N75" i="3" s="1"/>
  <c r="K67" i="3"/>
  <c r="K54" i="3"/>
  <c r="K205" i="3"/>
  <c r="K179" i="3"/>
  <c r="K111" i="3"/>
  <c r="K102" i="3"/>
  <c r="K31" i="3"/>
  <c r="K19" i="3"/>
  <c r="N19" i="3" s="1"/>
  <c r="O19" i="3" s="1"/>
  <c r="K262" i="3"/>
  <c r="K248" i="3"/>
  <c r="N248" i="3" s="1"/>
  <c r="K201" i="3"/>
  <c r="K152" i="3"/>
  <c r="K72" i="3"/>
  <c r="N72" i="3" s="1"/>
  <c r="O72" i="3" s="1"/>
  <c r="K59" i="3"/>
  <c r="K46" i="3"/>
  <c r="N46" i="3" s="1"/>
  <c r="O46" i="3" s="1"/>
  <c r="K5" i="3"/>
  <c r="N5" i="3" s="1"/>
  <c r="O5" i="3" s="1"/>
  <c r="K236" i="3"/>
  <c r="K182" i="3"/>
  <c r="K162" i="3"/>
  <c r="N162" i="3" s="1"/>
  <c r="K99" i="3"/>
  <c r="K96" i="3"/>
  <c r="K88" i="3"/>
  <c r="K80" i="3"/>
  <c r="K26" i="3"/>
  <c r="N26" i="3" s="1"/>
  <c r="K261" i="3"/>
  <c r="N261" i="3" s="1"/>
  <c r="O261" i="3" s="1"/>
  <c r="K159" i="3"/>
  <c r="K142" i="3"/>
  <c r="K126" i="3"/>
  <c r="K64" i="3"/>
  <c r="K51" i="3"/>
  <c r="K43" i="3"/>
  <c r="K38" i="3"/>
  <c r="N38" i="3" s="1"/>
  <c r="K7" i="3"/>
  <c r="K277" i="3"/>
  <c r="K226" i="3"/>
  <c r="K193" i="3"/>
  <c r="K165" i="3"/>
  <c r="K129" i="3"/>
  <c r="K123" i="3"/>
  <c r="K77" i="3"/>
  <c r="K33" i="3"/>
  <c r="K21" i="3"/>
  <c r="K14" i="3"/>
  <c r="K213" i="3"/>
  <c r="K175" i="3"/>
  <c r="K145" i="3"/>
  <c r="K85" i="3"/>
  <c r="K69" i="3"/>
  <c r="K56" i="3"/>
  <c r="K48" i="3"/>
  <c r="N48" i="3" s="1"/>
  <c r="O48" i="3" s="1"/>
  <c r="K217" i="3"/>
  <c r="K208" i="3"/>
  <c r="K200" i="3"/>
  <c r="K141" i="3"/>
  <c r="K138" i="3"/>
  <c r="K135" i="3"/>
  <c r="N135" i="3" s="1"/>
  <c r="O135" i="3" s="1"/>
  <c r="K93" i="3"/>
  <c r="K28" i="3"/>
  <c r="K16" i="3"/>
  <c r="N16" i="3" s="1"/>
  <c r="K9" i="3"/>
  <c r="K151" i="3"/>
  <c r="K110" i="3"/>
  <c r="K107" i="3"/>
  <c r="K74" i="3"/>
  <c r="K61" i="3"/>
  <c r="K234" i="3"/>
  <c r="N234" i="3" s="1"/>
  <c r="O234" i="3" s="1"/>
  <c r="K196" i="3"/>
  <c r="N196" i="3" s="1"/>
  <c r="O196" i="3" s="1"/>
  <c r="K148" i="3"/>
  <c r="K122" i="3"/>
  <c r="K119" i="3"/>
  <c r="K116" i="3"/>
  <c r="N116" i="3" s="1"/>
  <c r="O116" i="3" s="1"/>
  <c r="K82" i="3"/>
  <c r="N82" i="3" s="1"/>
  <c r="K53" i="3"/>
  <c r="K40" i="3"/>
  <c r="N40" i="3" s="1"/>
  <c r="O40" i="3" s="1"/>
  <c r="K35" i="3"/>
  <c r="K23" i="3"/>
  <c r="N23" i="3" s="1"/>
  <c r="O23" i="3" s="1"/>
  <c r="K282" i="3"/>
  <c r="N282" i="3" s="1"/>
  <c r="O282" i="3" s="1"/>
  <c r="K253" i="3"/>
  <c r="K212" i="3"/>
  <c r="N212" i="3" s="1"/>
  <c r="O212" i="3" s="1"/>
  <c r="K98" i="3"/>
  <c r="N98" i="3" s="1"/>
  <c r="O98" i="3" s="1"/>
  <c r="K90" i="3"/>
  <c r="K79" i="3"/>
  <c r="K66" i="3"/>
  <c r="K45" i="3"/>
  <c r="K246" i="3"/>
  <c r="K229" i="3"/>
  <c r="K178" i="3"/>
  <c r="K174" i="3"/>
  <c r="N174" i="3" s="1"/>
  <c r="O174" i="3" s="1"/>
  <c r="K171" i="3"/>
  <c r="K30" i="3"/>
  <c r="N30" i="3" s="1"/>
  <c r="O30" i="3" s="1"/>
  <c r="K18" i="3"/>
  <c r="N18" i="3" s="1"/>
  <c r="O18" i="3" s="1"/>
  <c r="K11" i="3"/>
  <c r="K87" i="3"/>
  <c r="K239" i="3"/>
  <c r="K199" i="3"/>
  <c r="K71" i="3"/>
  <c r="K58" i="3"/>
  <c r="N58" i="3" s="1"/>
  <c r="O58" i="3" s="1"/>
  <c r="K50" i="3"/>
  <c r="N50" i="3" s="1"/>
  <c r="O50" i="3" s="1"/>
  <c r="K4" i="3"/>
  <c r="N4" i="3" s="1"/>
  <c r="O4" i="3" s="1"/>
  <c r="K131" i="3"/>
  <c r="K84" i="3"/>
  <c r="N84" i="3" s="1"/>
  <c r="O84" i="3" s="1"/>
  <c r="K170" i="3"/>
  <c r="K163" i="3"/>
  <c r="K140" i="3"/>
  <c r="N140" i="3" s="1"/>
  <c r="K100" i="3"/>
  <c r="K92" i="3"/>
  <c r="K81" i="3"/>
  <c r="K27" i="3"/>
  <c r="K15" i="3"/>
  <c r="K8" i="3"/>
  <c r="K265" i="3"/>
  <c r="K237" i="3"/>
  <c r="K187" i="3"/>
  <c r="L191" i="3"/>
  <c r="K37" i="3"/>
  <c r="K47" i="3"/>
  <c r="L57" i="3"/>
  <c r="K160" i="3"/>
  <c r="K224" i="3"/>
  <c r="L76" i="3"/>
  <c r="L140" i="3"/>
  <c r="K167" i="3"/>
  <c r="L15" i="3"/>
  <c r="L68" i="3"/>
  <c r="L78" i="3"/>
  <c r="L170" i="3"/>
  <c r="K274" i="3"/>
  <c r="L239" i="3"/>
  <c r="L134" i="3"/>
  <c r="L181" i="3"/>
  <c r="L215" i="3"/>
  <c r="L258" i="3"/>
  <c r="L60" i="3"/>
  <c r="L39" i="3"/>
  <c r="K32" i="3"/>
  <c r="L50" i="3"/>
  <c r="K60" i="3"/>
  <c r="L95" i="3"/>
  <c r="K134" i="3"/>
  <c r="N134" i="3" s="1"/>
  <c r="O134" i="3" s="1"/>
  <c r="K143" i="3"/>
  <c r="K244" i="3"/>
  <c r="N244" i="3" s="1"/>
  <c r="O244" i="3" s="1"/>
  <c r="K76" i="3"/>
  <c r="N76" i="3" s="1"/>
  <c r="L32" i="3"/>
  <c r="L87" i="3"/>
  <c r="K127" i="3"/>
  <c r="L42" i="3"/>
  <c r="L118" i="3"/>
  <c r="L25" i="3"/>
  <c r="K68" i="3"/>
  <c r="K109" i="3"/>
  <c r="N109" i="3" s="1"/>
  <c r="K42" i="3"/>
  <c r="K52" i="3"/>
  <c r="L71" i="3"/>
  <c r="L112" i="3"/>
  <c r="L121" i="3"/>
  <c r="K164" i="3"/>
  <c r="K184" i="3"/>
  <c r="L220" i="3"/>
  <c r="K103" i="3"/>
  <c r="L184" i="3"/>
  <c r="L209" i="3"/>
  <c r="L197" i="3"/>
  <c r="L185" i="3"/>
  <c r="L280" i="3"/>
  <c r="L256" i="3"/>
  <c r="L286" i="3"/>
  <c r="L238" i="3"/>
  <c r="L267" i="3"/>
  <c r="L97" i="3"/>
  <c r="L250" i="3"/>
  <c r="L198" i="3"/>
  <c r="L210" i="3"/>
  <c r="L298" i="3"/>
  <c r="L190" i="3"/>
  <c r="L262" i="3"/>
  <c r="L201" i="3"/>
  <c r="L182" i="3"/>
  <c r="L162" i="3"/>
  <c r="L88" i="3"/>
  <c r="L80" i="3"/>
  <c r="L159" i="3"/>
  <c r="L142" i="3"/>
  <c r="L51" i="3"/>
  <c r="L43" i="3"/>
  <c r="L7" i="3"/>
  <c r="L193" i="3"/>
  <c r="L165" i="3"/>
  <c r="L14" i="3"/>
  <c r="L200" i="3"/>
  <c r="L189" i="3"/>
  <c r="L268" i="3"/>
  <c r="L104" i="3"/>
  <c r="L253" i="3"/>
  <c r="L154" i="3"/>
  <c r="L131" i="3"/>
  <c r="L150" i="3"/>
  <c r="L143" i="3"/>
  <c r="L73" i="3"/>
  <c r="L52" i="3"/>
  <c r="L202" i="3"/>
  <c r="L44" i="3"/>
  <c r="L63" i="3"/>
  <c r="L103" i="3"/>
  <c r="K220" i="3"/>
  <c r="L233" i="3"/>
  <c r="K63" i="3"/>
  <c r="L147" i="3"/>
  <c r="K157" i="3"/>
  <c r="L157" i="3"/>
  <c r="L84" i="3"/>
  <c r="K73" i="3"/>
  <c r="L4" i="3"/>
  <c r="L27" i="3"/>
  <c r="L199" i="3"/>
  <c r="K251" i="3"/>
  <c r="L55" i="3"/>
  <c r="K115" i="3"/>
  <c r="L211" i="3"/>
  <c r="K20" i="3"/>
  <c r="L115" i="3"/>
  <c r="L177" i="3"/>
  <c r="L188" i="3"/>
  <c r="K211" i="3"/>
  <c r="N211" i="3" s="1"/>
  <c r="O211" i="3" s="1"/>
  <c r="L81" i="3"/>
  <c r="L20" i="3"/>
  <c r="L37" i="3"/>
  <c r="K55" i="3"/>
  <c r="K106" i="3"/>
  <c r="L224" i="3"/>
  <c r="L282" i="3"/>
  <c r="K191" i="3"/>
  <c r="N191" i="3" s="1"/>
  <c r="K6" i="3"/>
  <c r="K13" i="3"/>
  <c r="N13" i="3" s="1"/>
  <c r="L106" i="3"/>
  <c r="L167" i="3"/>
  <c r="K177" i="3"/>
  <c r="L195" i="3"/>
  <c r="L109" i="3"/>
  <c r="L244" i="3"/>
  <c r="L273" i="3"/>
  <c r="L192" i="3"/>
  <c r="L58" i="3"/>
  <c r="L11" i="3"/>
  <c r="L18" i="3"/>
  <c r="L30" i="3"/>
  <c r="L53" i="3"/>
  <c r="N53" i="3" s="1"/>
  <c r="L171" i="3"/>
  <c r="L174" i="3"/>
  <c r="L229" i="3"/>
  <c r="L234" i="3"/>
  <c r="L246" i="3"/>
  <c r="L128" i="3"/>
  <c r="L45" i="3"/>
  <c r="L66" i="3"/>
  <c r="L79" i="3"/>
  <c r="L90" i="3"/>
  <c r="L98" i="3"/>
  <c r="L141" i="3"/>
  <c r="L212" i="3"/>
  <c r="L23" i="3"/>
  <c r="L35" i="3"/>
  <c r="N35" i="3" s="1"/>
  <c r="O35" i="3" s="1"/>
  <c r="L40" i="3"/>
  <c r="L116" i="3"/>
  <c r="L119" i="3"/>
  <c r="L122" i="3"/>
  <c r="L148" i="3"/>
  <c r="L196" i="3"/>
  <c r="L204" i="3"/>
  <c r="L235" i="3"/>
  <c r="L61" i="3"/>
  <c r="L74" i="3"/>
  <c r="L107" i="3"/>
  <c r="N107" i="3" s="1"/>
  <c r="O107" i="3" s="1"/>
  <c r="L110" i="3"/>
  <c r="L151" i="3"/>
  <c r="L9" i="3"/>
  <c r="L16" i="3"/>
  <c r="L28" i="3"/>
  <c r="L77" i="3"/>
  <c r="L93" i="3"/>
  <c r="L135" i="3"/>
  <c r="L138" i="3"/>
  <c r="L168" i="3"/>
  <c r="L208" i="3"/>
  <c r="L217" i="3"/>
  <c r="N217" i="3" s="1"/>
  <c r="L261" i="3"/>
  <c r="L269" i="3"/>
  <c r="L56" i="3"/>
  <c r="L69" i="3"/>
  <c r="L85" i="3"/>
  <c r="L96" i="3"/>
  <c r="L132" i="3"/>
  <c r="L145" i="3"/>
  <c r="L155" i="3"/>
  <c r="L175" i="3"/>
  <c r="L172" i="3"/>
  <c r="L230" i="3"/>
  <c r="L248" i="3"/>
  <c r="L236" i="3"/>
  <c r="L254" i="3"/>
  <c r="L46" i="3"/>
  <c r="L59" i="3"/>
  <c r="L117" i="3"/>
  <c r="L152" i="3"/>
  <c r="L231" i="3"/>
  <c r="L242" i="3"/>
  <c r="L12" i="3"/>
  <c r="L19" i="3"/>
  <c r="L31" i="3"/>
  <c r="L102" i="3"/>
  <c r="N102" i="3" s="1"/>
  <c r="O102" i="3" s="1"/>
  <c r="L108" i="3"/>
  <c r="L111" i="3"/>
  <c r="L156" i="3"/>
  <c r="L169" i="3"/>
  <c r="L179" i="3"/>
  <c r="N179" i="3" s="1"/>
  <c r="L205" i="3"/>
  <c r="L218" i="3"/>
  <c r="L287" i="3"/>
  <c r="L54" i="3"/>
  <c r="L67" i="3"/>
  <c r="L75" i="3"/>
  <c r="L91" i="3"/>
  <c r="L136" i="3"/>
  <c r="L176" i="3"/>
  <c r="L183" i="3"/>
  <c r="O270" i="3"/>
  <c r="L270" i="3"/>
  <c r="L5" i="3"/>
  <c r="L24" i="3"/>
  <c r="L36" i="3"/>
  <c r="L83" i="3"/>
  <c r="L105" i="3"/>
  <c r="L279" i="3"/>
  <c r="L3" i="3"/>
  <c r="L49" i="3"/>
  <c r="L62" i="3"/>
  <c r="L70" i="3"/>
  <c r="L114" i="3"/>
  <c r="L194" i="3"/>
  <c r="L243" i="3"/>
  <c r="L10" i="3"/>
  <c r="L17" i="3"/>
  <c r="L29" i="3"/>
  <c r="L65" i="3"/>
  <c r="L153" i="3"/>
  <c r="N153" i="3" s="1"/>
  <c r="O153" i="3" s="1"/>
  <c r="L187" i="3"/>
  <c r="L223" i="3"/>
  <c r="L86" i="3"/>
  <c r="L89" i="3"/>
  <c r="L133" i="3"/>
  <c r="L146" i="3"/>
  <c r="L163" i="3"/>
  <c r="L206" i="3"/>
  <c r="L227" i="3"/>
  <c r="L232" i="3"/>
  <c r="L293" i="3"/>
  <c r="N293" i="3" s="1"/>
  <c r="L237" i="3"/>
  <c r="N237" i="3" s="1"/>
  <c r="L251" i="3"/>
  <c r="L284" i="3"/>
  <c r="L299" i="3"/>
  <c r="L294" i="3"/>
  <c r="L289" i="3"/>
  <c r="L263" i="3"/>
  <c r="L241" i="3"/>
  <c r="L285" i="3"/>
  <c r="L203" i="3"/>
  <c r="L281" i="3"/>
  <c r="L301" i="3"/>
  <c r="L144" i="3"/>
  <c r="O180" i="3"/>
  <c r="L180" i="3"/>
  <c r="L219" i="3"/>
  <c r="L228" i="3"/>
  <c r="L260" i="3"/>
  <c r="L272" i="3"/>
  <c r="L120" i="3"/>
  <c r="L249" i="3"/>
  <c r="N249" i="3" s="1"/>
  <c r="L158" i="3"/>
  <c r="L216" i="3"/>
  <c r="L225" i="3"/>
  <c r="N225" i="3" s="1"/>
  <c r="L296" i="3"/>
  <c r="L292" i="3"/>
  <c r="L297" i="3"/>
  <c r="L266" i="3"/>
  <c r="L278" i="3"/>
  <c r="L290" i="3"/>
  <c r="L302" i="3"/>
  <c r="L247" i="3"/>
  <c r="L259" i="3"/>
  <c r="L271" i="3"/>
  <c r="L283" i="3"/>
  <c r="L295" i="3"/>
  <c r="L240" i="3"/>
  <c r="L252" i="3"/>
  <c r="L264" i="3"/>
  <c r="L276" i="3"/>
  <c r="L288" i="3"/>
  <c r="L300" i="3"/>
  <c r="L235" i="2"/>
  <c r="L267" i="2"/>
  <c r="L218" i="2"/>
  <c r="L74" i="2"/>
  <c r="L81" i="2"/>
  <c r="L104" i="2"/>
  <c r="L128" i="2"/>
  <c r="L152" i="2"/>
  <c r="L176" i="2"/>
  <c r="L200" i="2"/>
  <c r="L223" i="2"/>
  <c r="L247" i="2"/>
  <c r="L294" i="2"/>
  <c r="L165" i="2"/>
  <c r="L259" i="2"/>
  <c r="L266" i="2"/>
  <c r="L95" i="2"/>
  <c r="L118" i="2"/>
  <c r="L147" i="2"/>
  <c r="M147" i="2" s="1"/>
  <c r="N147" i="2" s="1"/>
  <c r="L146" i="2"/>
  <c r="L52" i="2"/>
  <c r="M52" i="2" s="1"/>
  <c r="N52" i="2" s="1"/>
  <c r="L53" i="2"/>
  <c r="L54" i="2"/>
  <c r="L197" i="2"/>
  <c r="L79" i="2"/>
  <c r="L102" i="2"/>
  <c r="L268" i="2"/>
  <c r="L292" i="2"/>
  <c r="L37" i="2"/>
  <c r="L80" i="2"/>
  <c r="L103" i="2"/>
  <c r="L199" i="2"/>
  <c r="L246" i="2"/>
  <c r="L269" i="2"/>
  <c r="L293" i="2"/>
  <c r="L289" i="2"/>
  <c r="L241" i="2"/>
  <c r="L217" i="2"/>
  <c r="L193" i="2"/>
  <c r="L145" i="2"/>
  <c r="L121" i="2"/>
  <c r="L97" i="2"/>
  <c r="L73" i="2"/>
  <c r="M73" i="2" s="1"/>
  <c r="N73" i="2" s="1"/>
  <c r="L49" i="2"/>
  <c r="M49" i="2" s="1"/>
  <c r="N49" i="2" s="1"/>
  <c r="L25" i="2"/>
  <c r="M25" i="2" s="1"/>
  <c r="N25" i="2" s="1"/>
  <c r="L288" i="2"/>
  <c r="L264" i="2"/>
  <c r="L240" i="2"/>
  <c r="L216" i="2"/>
  <c r="L168" i="2"/>
  <c r="L144" i="2"/>
  <c r="L96" i="2"/>
  <c r="L72" i="2"/>
  <c r="L287" i="2"/>
  <c r="L215" i="2"/>
  <c r="L143" i="2"/>
  <c r="L71" i="2"/>
  <c r="L51" i="2"/>
  <c r="M51" i="2" s="1"/>
  <c r="N51" i="2" s="1"/>
  <c r="L286" i="2"/>
  <c r="L262" i="2"/>
  <c r="L238" i="2"/>
  <c r="L190" i="2"/>
  <c r="L142" i="2"/>
  <c r="L94" i="2"/>
  <c r="L70" i="2"/>
  <c r="L22" i="2"/>
  <c r="L285" i="2"/>
  <c r="L237" i="2"/>
  <c r="L189" i="2"/>
  <c r="L117" i="2"/>
  <c r="L93" i="2"/>
  <c r="L69" i="2"/>
  <c r="L45" i="2"/>
  <c r="L21" i="2"/>
  <c r="L260" i="2"/>
  <c r="L188" i="2"/>
  <c r="L140" i="2"/>
  <c r="L116" i="2"/>
  <c r="L68" i="2"/>
  <c r="L283" i="2"/>
  <c r="L211" i="2"/>
  <c r="L163" i="2"/>
  <c r="L139" i="2"/>
  <c r="L91" i="2"/>
  <c r="L43" i="2"/>
  <c r="L210" i="2"/>
  <c r="L114" i="2"/>
  <c r="L90" i="2"/>
  <c r="L42" i="2"/>
  <c r="L18" i="2"/>
  <c r="L113" i="2"/>
  <c r="L89" i="2"/>
  <c r="M89" i="2" s="1"/>
  <c r="N89" i="2" s="1"/>
  <c r="L41" i="2"/>
  <c r="L17" i="2"/>
  <c r="L280" i="2"/>
  <c r="L256" i="2"/>
  <c r="L184" i="2"/>
  <c r="L160" i="2"/>
  <c r="L136" i="2"/>
  <c r="L88" i="2"/>
  <c r="L64" i="2"/>
  <c r="L40" i="2"/>
  <c r="L16" i="2"/>
  <c r="L279" i="2"/>
  <c r="L231" i="2"/>
  <c r="L207" i="2"/>
  <c r="L183" i="2"/>
  <c r="L159" i="2"/>
  <c r="L135" i="2"/>
  <c r="L111" i="2"/>
  <c r="L87" i="2"/>
  <c r="L63" i="2"/>
  <c r="L15" i="2"/>
  <c r="L278" i="2"/>
  <c r="M278" i="2" s="1"/>
  <c r="N278" i="2" s="1"/>
  <c r="L110" i="2"/>
  <c r="L62" i="2"/>
  <c r="L38" i="2"/>
  <c r="L14" i="2"/>
  <c r="L277" i="2"/>
  <c r="L181" i="2"/>
  <c r="L133" i="2"/>
  <c r="L85" i="2"/>
  <c r="L61" i="2"/>
  <c r="L180" i="2"/>
  <c r="L156" i="2"/>
  <c r="L108" i="2"/>
  <c r="L84" i="2"/>
  <c r="L60" i="2"/>
  <c r="L36" i="2"/>
  <c r="L12" i="2"/>
  <c r="M12" i="2" s="1"/>
  <c r="N12" i="2" s="1"/>
  <c r="L131" i="2"/>
  <c r="L107" i="2"/>
  <c r="L83" i="2"/>
  <c r="L35" i="2"/>
  <c r="L11" i="2"/>
  <c r="L274" i="2"/>
  <c r="L226" i="2"/>
  <c r="L202" i="2"/>
  <c r="L106" i="2"/>
  <c r="L58" i="2"/>
  <c r="L34" i="2"/>
  <c r="L297" i="2"/>
  <c r="L273" i="2"/>
  <c r="L249" i="2"/>
  <c r="L225" i="2"/>
  <c r="L57" i="2"/>
  <c r="L33" i="2"/>
  <c r="L9" i="2"/>
  <c r="L32" i="2"/>
  <c r="L8" i="2"/>
  <c r="L175" i="2"/>
  <c r="L151" i="2"/>
  <c r="L127" i="2"/>
  <c r="L55" i="2"/>
  <c r="L31" i="2"/>
  <c r="L7" i="2"/>
  <c r="L198" i="2"/>
  <c r="L150" i="2"/>
  <c r="L126" i="2"/>
  <c r="L78" i="2"/>
  <c r="L30" i="2"/>
  <c r="L101" i="2"/>
  <c r="L77" i="2"/>
  <c r="L29" i="2"/>
  <c r="L172" i="2"/>
  <c r="L148" i="2"/>
  <c r="L100" i="2"/>
  <c r="L76" i="2"/>
  <c r="L28" i="2"/>
  <c r="L4" i="2"/>
  <c r="K302" i="2"/>
  <c r="M302" i="2" s="1"/>
  <c r="N302" i="2" s="1"/>
  <c r="K299" i="2"/>
  <c r="K296" i="2"/>
  <c r="M296" i="2" s="1"/>
  <c r="N296" i="2" s="1"/>
  <c r="K293" i="2"/>
  <c r="K290" i="2"/>
  <c r="K287" i="2"/>
  <c r="K284" i="2"/>
  <c r="M284" i="2" s="1"/>
  <c r="N284" i="2" s="1"/>
  <c r="K281" i="2"/>
  <c r="K278" i="2"/>
  <c r="K275" i="2"/>
  <c r="M275" i="2" s="1"/>
  <c r="N275" i="2" s="1"/>
  <c r="K272" i="2"/>
  <c r="M272" i="2" s="1"/>
  <c r="N272" i="2" s="1"/>
  <c r="K269" i="2"/>
  <c r="K266" i="2"/>
  <c r="K263" i="2"/>
  <c r="M263" i="2" s="1"/>
  <c r="N263" i="2" s="1"/>
  <c r="K260" i="2"/>
  <c r="K257" i="2"/>
  <c r="M257" i="2" s="1"/>
  <c r="N257" i="2" s="1"/>
  <c r="K254" i="2"/>
  <c r="M254" i="2" s="1"/>
  <c r="N254" i="2" s="1"/>
  <c r="K251" i="2"/>
  <c r="M251" i="2" s="1"/>
  <c r="N251" i="2" s="1"/>
  <c r="K248" i="2"/>
  <c r="M248" i="2" s="1"/>
  <c r="N248" i="2" s="1"/>
  <c r="K245" i="2"/>
  <c r="M245" i="2" s="1"/>
  <c r="N245" i="2" s="1"/>
  <c r="K242" i="2"/>
  <c r="M242" i="2" s="1"/>
  <c r="N242" i="2" s="1"/>
  <c r="K239" i="2"/>
  <c r="M239" i="2" s="1"/>
  <c r="N239" i="2" s="1"/>
  <c r="K236" i="2"/>
  <c r="M236" i="2" s="1"/>
  <c r="N236" i="2" s="1"/>
  <c r="K233" i="2"/>
  <c r="K230" i="2"/>
  <c r="M230" i="2" s="1"/>
  <c r="N230" i="2" s="1"/>
  <c r="K227" i="2"/>
  <c r="M227" i="2" s="1"/>
  <c r="N227" i="2" s="1"/>
  <c r="K224" i="2"/>
  <c r="M224" i="2" s="1"/>
  <c r="N224" i="2" s="1"/>
  <c r="K221" i="2"/>
  <c r="M221" i="2" s="1"/>
  <c r="N221" i="2" s="1"/>
  <c r="K218" i="2"/>
  <c r="K215" i="2"/>
  <c r="K212" i="2"/>
  <c r="M212" i="2" s="1"/>
  <c r="N212" i="2" s="1"/>
  <c r="K209" i="2"/>
  <c r="K206" i="2"/>
  <c r="M206" i="2" s="1"/>
  <c r="N206" i="2" s="1"/>
  <c r="K203" i="2"/>
  <c r="K200" i="2"/>
  <c r="K197" i="2"/>
  <c r="K194" i="2"/>
  <c r="M194" i="2" s="1"/>
  <c r="N194" i="2" s="1"/>
  <c r="K191" i="2"/>
  <c r="M191" i="2" s="1"/>
  <c r="N191" i="2" s="1"/>
  <c r="K188" i="2"/>
  <c r="K185" i="2"/>
  <c r="M185" i="2" s="1"/>
  <c r="N185" i="2" s="1"/>
  <c r="K182" i="2"/>
  <c r="K179" i="2"/>
  <c r="K176" i="2"/>
  <c r="K173" i="2"/>
  <c r="M173" i="2" s="1"/>
  <c r="N173" i="2" s="1"/>
  <c r="K170" i="2"/>
  <c r="K167" i="2"/>
  <c r="M167" i="2" s="1"/>
  <c r="N167" i="2" s="1"/>
  <c r="K164" i="2"/>
  <c r="M164" i="2" s="1"/>
  <c r="N164" i="2" s="1"/>
  <c r="K161" i="2"/>
  <c r="M161" i="2" s="1"/>
  <c r="N161" i="2" s="1"/>
  <c r="K158" i="2"/>
  <c r="M158" i="2" s="1"/>
  <c r="N158" i="2" s="1"/>
  <c r="K155" i="2"/>
  <c r="K152" i="2"/>
  <c r="K149" i="2"/>
  <c r="M149" i="2" s="1"/>
  <c r="N149" i="2" s="1"/>
  <c r="K146" i="2"/>
  <c r="K143" i="2"/>
  <c r="K140" i="2"/>
  <c r="K137" i="2"/>
  <c r="M137" i="2" s="1"/>
  <c r="N137" i="2" s="1"/>
  <c r="K134" i="2"/>
  <c r="M134" i="2" s="1"/>
  <c r="N134" i="2" s="1"/>
  <c r="K131" i="2"/>
  <c r="K128" i="2"/>
  <c r="K125" i="2"/>
  <c r="M125" i="2" s="1"/>
  <c r="N125" i="2" s="1"/>
  <c r="K301" i="2"/>
  <c r="K193" i="2"/>
  <c r="K168" i="2"/>
  <c r="K147" i="2"/>
  <c r="K135" i="2"/>
  <c r="M135" i="2" s="1"/>
  <c r="N135" i="2" s="1"/>
  <c r="K120" i="2"/>
  <c r="M120" i="2" s="1"/>
  <c r="N120" i="2" s="1"/>
  <c r="K110" i="2"/>
  <c r="K97" i="2"/>
  <c r="K84" i="2"/>
  <c r="M84" i="2" s="1"/>
  <c r="N84" i="2" s="1"/>
  <c r="K74" i="2"/>
  <c r="K61" i="2"/>
  <c r="M61" i="2" s="1"/>
  <c r="N61" i="2" s="1"/>
  <c r="K48" i="2"/>
  <c r="M48" i="2" s="1"/>
  <c r="N48" i="2" s="1"/>
  <c r="K45" i="2"/>
  <c r="M45" i="2" s="1"/>
  <c r="N45" i="2" s="1"/>
  <c r="K42" i="2"/>
  <c r="K39" i="2"/>
  <c r="K36" i="2"/>
  <c r="K33" i="2"/>
  <c r="M33" i="2" s="1"/>
  <c r="N33" i="2" s="1"/>
  <c r="K30" i="2"/>
  <c r="M30" i="2" s="1"/>
  <c r="N30" i="2" s="1"/>
  <c r="K27" i="2"/>
  <c r="M27" i="2" s="1"/>
  <c r="N27" i="2" s="1"/>
  <c r="K24" i="2"/>
  <c r="M24" i="2" s="1"/>
  <c r="N24" i="2" s="1"/>
  <c r="K21" i="2"/>
  <c r="M21" i="2" s="1"/>
  <c r="N21" i="2" s="1"/>
  <c r="K18" i="2"/>
  <c r="M18" i="2" s="1"/>
  <c r="N18" i="2" s="1"/>
  <c r="K15" i="2"/>
  <c r="K282" i="2"/>
  <c r="M282" i="2" s="1"/>
  <c r="N282" i="2" s="1"/>
  <c r="K258" i="2"/>
  <c r="M258" i="2" s="1"/>
  <c r="N258" i="2" s="1"/>
  <c r="K234" i="2"/>
  <c r="M234" i="2" s="1"/>
  <c r="N234" i="2" s="1"/>
  <c r="K189" i="2"/>
  <c r="K286" i="2"/>
  <c r="K262" i="2"/>
  <c r="K238" i="2"/>
  <c r="K214" i="2"/>
  <c r="M214" i="2" s="1"/>
  <c r="N214" i="2" s="1"/>
  <c r="K210" i="2"/>
  <c r="K163" i="2"/>
  <c r="M163" i="2" s="1"/>
  <c r="N163" i="2" s="1"/>
  <c r="K123" i="2"/>
  <c r="M123" i="2" s="1"/>
  <c r="N123" i="2" s="1"/>
  <c r="K113" i="2"/>
  <c r="M113" i="2" s="1"/>
  <c r="N113" i="2" s="1"/>
  <c r="K100" i="2"/>
  <c r="M100" i="2" s="1"/>
  <c r="N100" i="2" s="1"/>
  <c r="K87" i="2"/>
  <c r="M87" i="2" s="1"/>
  <c r="N87" i="2" s="1"/>
  <c r="K77" i="2"/>
  <c r="M77" i="2" s="1"/>
  <c r="N77" i="2" s="1"/>
  <c r="K64" i="2"/>
  <c r="M64" i="2" s="1"/>
  <c r="N64" i="2" s="1"/>
  <c r="K51" i="2"/>
  <c r="K12" i="2"/>
  <c r="K9" i="2"/>
  <c r="K184" i="2"/>
  <c r="M184" i="2" s="1"/>
  <c r="N184" i="2" s="1"/>
  <c r="K159" i="2"/>
  <c r="K291" i="2"/>
  <c r="M291" i="2" s="1"/>
  <c r="N291" i="2" s="1"/>
  <c r="K267" i="2"/>
  <c r="K243" i="2"/>
  <c r="M243" i="2" s="1"/>
  <c r="N243" i="2" s="1"/>
  <c r="K219" i="2"/>
  <c r="M219" i="2" s="1"/>
  <c r="N219" i="2" s="1"/>
  <c r="K205" i="2"/>
  <c r="K180" i="2"/>
  <c r="M180" i="2" s="1"/>
  <c r="N180" i="2" s="1"/>
  <c r="K142" i="2"/>
  <c r="K130" i="2"/>
  <c r="M130" i="2" s="1"/>
  <c r="N130" i="2" s="1"/>
  <c r="K116" i="2"/>
  <c r="M116" i="2" s="1"/>
  <c r="N116" i="2" s="1"/>
  <c r="K103" i="2"/>
  <c r="K90" i="2"/>
  <c r="K80" i="2"/>
  <c r="K67" i="2"/>
  <c r="M67" i="2" s="1"/>
  <c r="N67" i="2" s="1"/>
  <c r="K54" i="2"/>
  <c r="K295" i="2"/>
  <c r="M295" i="2" s="1"/>
  <c r="N295" i="2" s="1"/>
  <c r="K271" i="2"/>
  <c r="M271" i="2" s="1"/>
  <c r="N271" i="2" s="1"/>
  <c r="K247" i="2"/>
  <c r="K223" i="2"/>
  <c r="K201" i="2"/>
  <c r="K154" i="2"/>
  <c r="K6" i="2"/>
  <c r="M6" i="2" s="1"/>
  <c r="N6" i="2" s="1"/>
  <c r="N3" i="2"/>
  <c r="K175" i="2"/>
  <c r="K150" i="2"/>
  <c r="K138" i="2"/>
  <c r="K126" i="2"/>
  <c r="M126" i="2" s="1"/>
  <c r="N126" i="2" s="1"/>
  <c r="K119" i="2"/>
  <c r="M119" i="2" s="1"/>
  <c r="N119" i="2" s="1"/>
  <c r="K106" i="2"/>
  <c r="K93" i="2"/>
  <c r="K83" i="2"/>
  <c r="K70" i="2"/>
  <c r="K57" i="2"/>
  <c r="K300" i="2"/>
  <c r="K276" i="2"/>
  <c r="K252" i="2"/>
  <c r="K228" i="2"/>
  <c r="M228" i="2" s="1"/>
  <c r="N228" i="2" s="1"/>
  <c r="K196" i="2"/>
  <c r="M196" i="2" s="1"/>
  <c r="N196" i="2" s="1"/>
  <c r="K171" i="2"/>
  <c r="M171" i="2" s="1"/>
  <c r="N171" i="2" s="1"/>
  <c r="K280" i="2"/>
  <c r="K256" i="2"/>
  <c r="K232" i="2"/>
  <c r="K192" i="2"/>
  <c r="M192" i="2" s="1"/>
  <c r="N192" i="2" s="1"/>
  <c r="K122" i="2"/>
  <c r="M122" i="2" s="1"/>
  <c r="N122" i="2" s="1"/>
  <c r="K109" i="2"/>
  <c r="M109" i="2" s="1"/>
  <c r="N109" i="2" s="1"/>
  <c r="K96" i="2"/>
  <c r="M96" i="2" s="1"/>
  <c r="N96" i="2" s="1"/>
  <c r="K86" i="2"/>
  <c r="M86" i="2" s="1"/>
  <c r="N86" i="2" s="1"/>
  <c r="K73" i="2"/>
  <c r="K60" i="2"/>
  <c r="K50" i="2"/>
  <c r="M50" i="2" s="1"/>
  <c r="N50" i="2" s="1"/>
  <c r="K47" i="2"/>
  <c r="M47" i="2" s="1"/>
  <c r="N47" i="2" s="1"/>
  <c r="K44" i="2"/>
  <c r="K41" i="2"/>
  <c r="K38" i="2"/>
  <c r="M38" i="2" s="1"/>
  <c r="N38" i="2" s="1"/>
  <c r="K35" i="2"/>
  <c r="K32" i="2"/>
  <c r="K29" i="2"/>
  <c r="M29" i="2" s="1"/>
  <c r="N29" i="2" s="1"/>
  <c r="K26" i="2"/>
  <c r="M26" i="2" s="1"/>
  <c r="N26" i="2" s="1"/>
  <c r="K23" i="2"/>
  <c r="M23" i="2" s="1"/>
  <c r="N23" i="2" s="1"/>
  <c r="K20" i="2"/>
  <c r="K17" i="2"/>
  <c r="M17" i="2" s="1"/>
  <c r="N17" i="2" s="1"/>
  <c r="K11" i="2"/>
  <c r="M11" i="2" s="1"/>
  <c r="N11" i="2" s="1"/>
  <c r="K166" i="2"/>
  <c r="M166" i="2" s="1"/>
  <c r="N166" i="2" s="1"/>
  <c r="K285" i="2"/>
  <c r="K261" i="2"/>
  <c r="M261" i="2" s="1"/>
  <c r="N261" i="2" s="1"/>
  <c r="K237" i="2"/>
  <c r="K213" i="2"/>
  <c r="M213" i="2" s="1"/>
  <c r="N213" i="2" s="1"/>
  <c r="K187" i="2"/>
  <c r="K162" i="2"/>
  <c r="K145" i="2"/>
  <c r="K133" i="2"/>
  <c r="K112" i="2"/>
  <c r="K99" i="2"/>
  <c r="M99" i="2" s="1"/>
  <c r="N99" i="2" s="1"/>
  <c r="K89" i="2"/>
  <c r="K76" i="2"/>
  <c r="M76" i="2" s="1"/>
  <c r="N76" i="2" s="1"/>
  <c r="K63" i="2"/>
  <c r="M63" i="2" s="1"/>
  <c r="N63" i="2" s="1"/>
  <c r="K53" i="2"/>
  <c r="K14" i="2"/>
  <c r="K8" i="2"/>
  <c r="M8" i="2" s="1"/>
  <c r="N8" i="2" s="1"/>
  <c r="K82" i="2"/>
  <c r="M82" i="2" s="1"/>
  <c r="N82" i="2" s="1"/>
  <c r="K289" i="2"/>
  <c r="K265" i="2"/>
  <c r="M265" i="2" s="1"/>
  <c r="N265" i="2" s="1"/>
  <c r="K241" i="2"/>
  <c r="K217" i="2"/>
  <c r="K208" i="2"/>
  <c r="K183" i="2"/>
  <c r="M183" i="2" s="1"/>
  <c r="N183" i="2" s="1"/>
  <c r="K69" i="2"/>
  <c r="K204" i="2"/>
  <c r="K157" i="2"/>
  <c r="K141" i="2"/>
  <c r="M141" i="2" s="1"/>
  <c r="N141" i="2" s="1"/>
  <c r="K129" i="2"/>
  <c r="M129" i="2" s="1"/>
  <c r="N129" i="2" s="1"/>
  <c r="K115" i="2"/>
  <c r="K102" i="2"/>
  <c r="K92" i="2"/>
  <c r="M92" i="2" s="1"/>
  <c r="N92" i="2" s="1"/>
  <c r="K79" i="2"/>
  <c r="K66" i="2"/>
  <c r="M66" i="2" s="1"/>
  <c r="N66" i="2" s="1"/>
  <c r="K56" i="2"/>
  <c r="M56" i="2" s="1"/>
  <c r="N56" i="2" s="1"/>
  <c r="K294" i="2"/>
  <c r="K270" i="2"/>
  <c r="M270" i="2" s="1"/>
  <c r="N270" i="2" s="1"/>
  <c r="K246" i="2"/>
  <c r="K222" i="2"/>
  <c r="M222" i="2" s="1"/>
  <c r="N222" i="2" s="1"/>
  <c r="K178" i="2"/>
  <c r="M178" i="2" s="1"/>
  <c r="N178" i="2" s="1"/>
  <c r="K153" i="2"/>
  <c r="M153" i="2" s="1"/>
  <c r="N153" i="2" s="1"/>
  <c r="K5" i="2"/>
  <c r="M5" i="2" s="1"/>
  <c r="N5" i="2" s="1"/>
  <c r="K231" i="2"/>
  <c r="M231" i="2" s="1"/>
  <c r="N231" i="2" s="1"/>
  <c r="K298" i="2"/>
  <c r="K274" i="2"/>
  <c r="M274" i="2" s="1"/>
  <c r="N274" i="2" s="1"/>
  <c r="K250" i="2"/>
  <c r="K226" i="2"/>
  <c r="M226" i="2" s="1"/>
  <c r="N226" i="2" s="1"/>
  <c r="K199" i="2"/>
  <c r="K174" i="2"/>
  <c r="M174" i="2" s="1"/>
  <c r="N174" i="2" s="1"/>
  <c r="K118" i="2"/>
  <c r="K105" i="2"/>
  <c r="M105" i="2" s="1"/>
  <c r="N105" i="2" s="1"/>
  <c r="K95" i="2"/>
  <c r="K59" i="2"/>
  <c r="M59" i="2" s="1"/>
  <c r="N59" i="2" s="1"/>
  <c r="K279" i="2"/>
  <c r="K255" i="2"/>
  <c r="M255" i="2" s="1"/>
  <c r="N255" i="2" s="1"/>
  <c r="K195" i="2"/>
  <c r="K211" i="2"/>
  <c r="M211" i="2" s="1"/>
  <c r="N211" i="2" s="1"/>
  <c r="K186" i="2"/>
  <c r="M186" i="2" s="1"/>
  <c r="N186" i="2" s="1"/>
  <c r="K144" i="2"/>
  <c r="K132" i="2"/>
  <c r="M132" i="2" s="1"/>
  <c r="N132" i="2" s="1"/>
  <c r="K124" i="2"/>
  <c r="M124" i="2" s="1"/>
  <c r="N124" i="2" s="1"/>
  <c r="K111" i="2"/>
  <c r="K101" i="2"/>
  <c r="M101" i="2" s="1"/>
  <c r="N101" i="2" s="1"/>
  <c r="K88" i="2"/>
  <c r="K75" i="2"/>
  <c r="M75" i="2" s="1"/>
  <c r="N75" i="2" s="1"/>
  <c r="K65" i="2"/>
  <c r="K52" i="2"/>
  <c r="K13" i="2"/>
  <c r="M13" i="2" s="1"/>
  <c r="N13" i="2" s="1"/>
  <c r="K10" i="2"/>
  <c r="M10" i="2" s="1"/>
  <c r="N10" i="2" s="1"/>
  <c r="K7" i="2"/>
  <c r="K288" i="2"/>
  <c r="K264" i="2"/>
  <c r="K240" i="2"/>
  <c r="K216" i="2"/>
  <c r="K207" i="2"/>
  <c r="M207" i="2" s="1"/>
  <c r="N207" i="2" s="1"/>
  <c r="K160" i="2"/>
  <c r="M160" i="2" s="1"/>
  <c r="N160" i="2" s="1"/>
  <c r="K292" i="2"/>
  <c r="K268" i="2"/>
  <c r="K244" i="2"/>
  <c r="K220" i="2"/>
  <c r="M220" i="2" s="1"/>
  <c r="N220" i="2" s="1"/>
  <c r="K181" i="2"/>
  <c r="M181" i="2" s="1"/>
  <c r="N181" i="2" s="1"/>
  <c r="K156" i="2"/>
  <c r="K114" i="2"/>
  <c r="M114" i="2" s="1"/>
  <c r="N114" i="2" s="1"/>
  <c r="K104" i="2"/>
  <c r="K91" i="2"/>
  <c r="M91" i="2" s="1"/>
  <c r="N91" i="2" s="1"/>
  <c r="K78" i="2"/>
  <c r="K68" i="2"/>
  <c r="K55" i="2"/>
  <c r="K202" i="2"/>
  <c r="K177" i="2"/>
  <c r="M177" i="2" s="1"/>
  <c r="N177" i="2" s="1"/>
  <c r="K4" i="2"/>
  <c r="M4" i="2" s="1"/>
  <c r="N4" i="2" s="1"/>
  <c r="K225" i="2"/>
  <c r="K58" i="2"/>
  <c r="M58" i="2" s="1"/>
  <c r="N58" i="2" s="1"/>
  <c r="K117" i="2"/>
  <c r="M117" i="2" s="1"/>
  <c r="N117" i="2" s="1"/>
  <c r="K107" i="2"/>
  <c r="K22" i="2"/>
  <c r="M22" i="2" s="1"/>
  <c r="N22" i="2" s="1"/>
  <c r="K283" i="2"/>
  <c r="K169" i="2"/>
  <c r="M169" i="2" s="1"/>
  <c r="N169" i="2" s="1"/>
  <c r="K85" i="2"/>
  <c r="K81" i="2"/>
  <c r="K253" i="2"/>
  <c r="K46" i="2"/>
  <c r="M46" i="2" s="1"/>
  <c r="N46" i="2" s="1"/>
  <c r="K37" i="2"/>
  <c r="K139" i="2"/>
  <c r="M139" i="2" s="1"/>
  <c r="N139" i="2" s="1"/>
  <c r="K297" i="2"/>
  <c r="M297" i="2" s="1"/>
  <c r="N297" i="2" s="1"/>
  <c r="K235" i="2"/>
  <c r="K94" i="2"/>
  <c r="M94" i="2" s="1"/>
  <c r="N94" i="2" s="1"/>
  <c r="K28" i="2"/>
  <c r="K25" i="2"/>
  <c r="K19" i="2"/>
  <c r="M19" i="2" s="1"/>
  <c r="N19" i="2" s="1"/>
  <c r="K71" i="2"/>
  <c r="K249" i="2"/>
  <c r="K190" i="2"/>
  <c r="K121" i="2"/>
  <c r="K62" i="2"/>
  <c r="M62" i="2" s="1"/>
  <c r="N62" i="2" s="1"/>
  <c r="K72" i="2"/>
  <c r="M72" i="2" s="1"/>
  <c r="N72" i="2" s="1"/>
  <c r="K34" i="2"/>
  <c r="M34" i="2" s="1"/>
  <c r="N34" i="2" s="1"/>
  <c r="K165" i="2"/>
  <c r="K43" i="2"/>
  <c r="K277" i="2"/>
  <c r="M277" i="2" s="1"/>
  <c r="N277" i="2" s="1"/>
  <c r="K151" i="2"/>
  <c r="K259" i="2"/>
  <c r="K229" i="2"/>
  <c r="K136" i="2"/>
  <c r="K16" i="2"/>
  <c r="M16" i="2" s="1"/>
  <c r="N16" i="2" s="1"/>
  <c r="K273" i="2"/>
  <c r="M273" i="2" s="1"/>
  <c r="N273" i="2" s="1"/>
  <c r="K49" i="2"/>
  <c r="K127" i="2"/>
  <c r="M127" i="2" s="1"/>
  <c r="N127" i="2" s="1"/>
  <c r="K40" i="2"/>
  <c r="M40" i="2" s="1"/>
  <c r="N40" i="2" s="1"/>
  <c r="K172" i="2"/>
  <c r="K31" i="2"/>
  <c r="K198" i="2"/>
  <c r="K148" i="2"/>
  <c r="K98" i="2"/>
  <c r="M98" i="2" s="1"/>
  <c r="N98" i="2" s="1"/>
  <c r="K108" i="2"/>
  <c r="K36" i="1"/>
  <c r="L36" i="1" s="1"/>
  <c r="K300" i="1"/>
  <c r="L300" i="1" s="1"/>
  <c r="K204" i="1"/>
  <c r="L204" i="1" s="1"/>
  <c r="K60" i="1"/>
  <c r="L60" i="1" s="1"/>
  <c r="K180" i="1"/>
  <c r="L180" i="1" s="1"/>
  <c r="K108" i="1"/>
  <c r="L108" i="1" s="1"/>
  <c r="K252" i="1"/>
  <c r="L252" i="1" s="1"/>
  <c r="K8" i="1"/>
  <c r="L8" i="1" s="1"/>
  <c r="K10" i="1"/>
  <c r="L10" i="1" s="1"/>
  <c r="K9" i="1"/>
  <c r="L9" i="1" s="1"/>
  <c r="K106" i="1"/>
  <c r="L106" i="1" s="1"/>
  <c r="K82" i="1"/>
  <c r="L82" i="1" s="1"/>
  <c r="K178" i="1"/>
  <c r="L178" i="1" s="1"/>
  <c r="K153" i="1"/>
  <c r="L153" i="1" s="1"/>
  <c r="K272" i="1"/>
  <c r="L272" i="1" s="1"/>
  <c r="K54" i="1"/>
  <c r="L54" i="1" s="1"/>
  <c r="K275" i="1"/>
  <c r="L275" i="1" s="1"/>
  <c r="K34" i="1"/>
  <c r="L34" i="1" s="1"/>
  <c r="K199" i="1"/>
  <c r="L199" i="1" s="1"/>
  <c r="K57" i="1"/>
  <c r="L57" i="1" s="1"/>
  <c r="K251" i="1"/>
  <c r="L251" i="1" s="1"/>
  <c r="K103" i="1"/>
  <c r="L103" i="1" s="1"/>
  <c r="K35" i="1"/>
  <c r="L35" i="1" s="1"/>
  <c r="K81" i="1"/>
  <c r="L81" i="1" s="1"/>
  <c r="K149" i="1"/>
  <c r="L149" i="1" s="1"/>
  <c r="K126" i="1"/>
  <c r="L126" i="1" s="1"/>
  <c r="K273" i="1"/>
  <c r="L273" i="1" s="1"/>
  <c r="K176" i="1"/>
  <c r="L176" i="1" s="1"/>
  <c r="K94" i="1"/>
  <c r="L94" i="1" s="1"/>
  <c r="K129" i="1"/>
  <c r="L129" i="1" s="1"/>
  <c r="K32" i="1"/>
  <c r="L32" i="1" s="1"/>
  <c r="K125" i="1"/>
  <c r="L125" i="1" s="1"/>
  <c r="K218" i="1"/>
  <c r="L218" i="1" s="1"/>
  <c r="K102" i="1"/>
  <c r="L102" i="1" s="1"/>
  <c r="K83" i="1"/>
  <c r="L83" i="1" s="1"/>
  <c r="K33" i="1"/>
  <c r="L33" i="1" s="1"/>
  <c r="K131" i="1"/>
  <c r="L131" i="1" s="1"/>
  <c r="K298" i="1"/>
  <c r="L298" i="1" s="1"/>
  <c r="K105" i="1"/>
  <c r="L105" i="1" s="1"/>
  <c r="K294" i="1"/>
  <c r="L294" i="1" s="1"/>
  <c r="K115" i="1"/>
  <c r="L115" i="1" s="1"/>
  <c r="K107" i="1"/>
  <c r="L107" i="1" s="1"/>
  <c r="K130" i="1"/>
  <c r="L130" i="1" s="1"/>
  <c r="K114" i="1"/>
  <c r="L114" i="1" s="1"/>
  <c r="K177" i="1"/>
  <c r="L177" i="1" s="1"/>
  <c r="K296" i="1"/>
  <c r="L296" i="1" s="1"/>
  <c r="K29" i="1"/>
  <c r="L29" i="1" s="1"/>
  <c r="K161" i="1"/>
  <c r="L161" i="1" s="1"/>
  <c r="K59" i="1"/>
  <c r="L59" i="1" s="1"/>
  <c r="K152" i="1"/>
  <c r="L152" i="1" s="1"/>
  <c r="K79" i="1"/>
  <c r="L79" i="1" s="1"/>
  <c r="K128" i="1"/>
  <c r="L128" i="1" s="1"/>
  <c r="K100" i="1"/>
  <c r="L100" i="1" s="1"/>
  <c r="K232" i="1"/>
  <c r="L232" i="1" s="1"/>
  <c r="K184" i="1"/>
  <c r="L184" i="1" s="1"/>
  <c r="K64" i="1"/>
  <c r="L64" i="1" s="1"/>
  <c r="K154" i="1"/>
  <c r="L154" i="1" s="1"/>
  <c r="K148" i="1"/>
  <c r="L148" i="1" s="1"/>
  <c r="K101" i="1"/>
  <c r="L101" i="1" s="1"/>
  <c r="K118" i="1"/>
  <c r="L118" i="1" s="1"/>
  <c r="K31" i="1"/>
  <c r="L31" i="1" s="1"/>
  <c r="K234" i="1"/>
  <c r="L234" i="1" s="1"/>
  <c r="K111" i="1"/>
  <c r="L111" i="1" s="1"/>
  <c r="K87" i="1"/>
  <c r="L87" i="1" s="1"/>
  <c r="K63" i="1"/>
  <c r="L63" i="1" s="1"/>
  <c r="K58" i="1"/>
  <c r="L58" i="1" s="1"/>
  <c r="K198" i="1"/>
  <c r="L198" i="1" s="1"/>
  <c r="K219" i="1"/>
  <c r="L219" i="1" s="1"/>
  <c r="K104" i="1"/>
  <c r="L104" i="1" s="1"/>
  <c r="K110" i="1"/>
  <c r="L110" i="1" s="1"/>
  <c r="K86" i="1"/>
  <c r="L86" i="1" s="1"/>
  <c r="K62" i="1"/>
  <c r="L62" i="1" s="1"/>
  <c r="K38" i="1"/>
  <c r="L38" i="1" s="1"/>
  <c r="K124" i="1"/>
  <c r="L124" i="1" s="1"/>
  <c r="K279" i="1"/>
  <c r="L279" i="1" s="1"/>
  <c r="K231" i="1"/>
  <c r="L231" i="1" s="1"/>
  <c r="K302" i="1"/>
  <c r="L302" i="1" s="1"/>
  <c r="K230" i="1"/>
  <c r="L230" i="1" s="1"/>
  <c r="K301" i="1"/>
  <c r="L301" i="1" s="1"/>
  <c r="K277" i="1"/>
  <c r="L277" i="1" s="1"/>
  <c r="K253" i="1"/>
  <c r="L253" i="1" s="1"/>
  <c r="K229" i="1"/>
  <c r="L229" i="1" s="1"/>
  <c r="K205" i="1"/>
  <c r="L205" i="1" s="1"/>
  <c r="K181" i="1"/>
  <c r="L181" i="1" s="1"/>
  <c r="K157" i="1"/>
  <c r="L157" i="1" s="1"/>
  <c r="K109" i="1"/>
  <c r="L109" i="1" s="1"/>
  <c r="K85" i="1"/>
  <c r="L85" i="1" s="1"/>
  <c r="K61" i="1"/>
  <c r="L61" i="1" s="1"/>
  <c r="K13" i="1"/>
  <c r="L13" i="1" s="1"/>
  <c r="K186" i="1"/>
  <c r="L186" i="1" s="1"/>
  <c r="K11" i="1"/>
  <c r="L11" i="1" s="1"/>
  <c r="K244" i="1"/>
  <c r="L244" i="1" s="1"/>
  <c r="K28" i="1"/>
  <c r="L28" i="1" s="1"/>
  <c r="K225" i="1"/>
  <c r="L225" i="1" s="1"/>
  <c r="K250" i="1"/>
  <c r="L250" i="1" s="1"/>
  <c r="K224" i="1"/>
  <c r="L224" i="1" s="1"/>
  <c r="K223" i="1"/>
  <c r="L223" i="1" s="1"/>
  <c r="K226" i="1"/>
  <c r="L226" i="1" s="1"/>
  <c r="L4" i="1"/>
  <c r="K221" i="1"/>
  <c r="L221" i="1" s="1"/>
  <c r="K245" i="1"/>
  <c r="L245" i="1" s="1"/>
  <c r="K6" i="1"/>
  <c r="L6" i="1" s="1"/>
  <c r="K222" i="1"/>
  <c r="L222" i="1" s="1"/>
  <c r="K220" i="1"/>
  <c r="L220" i="1" s="1"/>
  <c r="K151" i="1"/>
  <c r="L151" i="1" s="1"/>
  <c r="K249" i="1"/>
  <c r="L249" i="1" s="1"/>
  <c r="K150" i="1"/>
  <c r="L150" i="1" s="1"/>
  <c r="K37" i="1"/>
  <c r="L37" i="1" s="1"/>
  <c r="K14" i="1"/>
  <c r="L14" i="1" s="1"/>
  <c r="K299" i="1"/>
  <c r="L299" i="1" s="1"/>
  <c r="K80" i="1"/>
  <c r="L80" i="1" s="1"/>
  <c r="K297" i="1"/>
  <c r="L297" i="1" s="1"/>
  <c r="K197" i="1"/>
  <c r="L197" i="1" s="1"/>
  <c r="K77" i="1"/>
  <c r="L77" i="1" s="1"/>
  <c r="K56" i="1"/>
  <c r="L56" i="1" s="1"/>
  <c r="K270" i="1"/>
  <c r="L270" i="1" s="1"/>
  <c r="K175" i="1"/>
  <c r="L175" i="1" s="1"/>
  <c r="K53" i="1"/>
  <c r="L53" i="1" s="1"/>
  <c r="K196" i="1"/>
  <c r="L196" i="1" s="1"/>
  <c r="K292" i="1"/>
  <c r="L292" i="1" s="1"/>
  <c r="K269" i="1"/>
  <c r="L269" i="1" s="1"/>
  <c r="K174" i="1"/>
  <c r="L174" i="1" s="1"/>
  <c r="K52" i="1"/>
  <c r="L52" i="1" s="1"/>
  <c r="K201" i="1"/>
  <c r="L201" i="1" s="1"/>
  <c r="K268" i="1"/>
  <c r="L268" i="1" s="1"/>
  <c r="K173" i="1"/>
  <c r="L173" i="1" s="1"/>
  <c r="K172" i="1"/>
  <c r="L172" i="1" s="1"/>
  <c r="K76" i="1"/>
  <c r="L76" i="1" s="1"/>
  <c r="K254" i="1"/>
  <c r="L254" i="1" s="1"/>
  <c r="K183" i="1"/>
  <c r="L183" i="1" s="1"/>
  <c r="K182" i="1"/>
  <c r="L182" i="1" s="1"/>
  <c r="K278" i="1"/>
  <c r="L278" i="1" s="1"/>
  <c r="K159" i="1"/>
  <c r="L159" i="1" s="1"/>
  <c r="K195" i="1"/>
  <c r="L195" i="1" s="1"/>
  <c r="K99" i="1"/>
  <c r="L99" i="1" s="1"/>
  <c r="K194" i="1"/>
  <c r="L194" i="1" s="1"/>
  <c r="K98" i="1"/>
  <c r="L98" i="1" s="1"/>
  <c r="K171" i="1"/>
  <c r="L171" i="1" s="1"/>
  <c r="K75" i="1"/>
  <c r="L75" i="1" s="1"/>
  <c r="K170" i="1"/>
  <c r="L170" i="1" s="1"/>
  <c r="K291" i="1"/>
  <c r="L291" i="1" s="1"/>
  <c r="K162" i="1"/>
  <c r="L162" i="1" s="1"/>
  <c r="K290" i="1"/>
  <c r="L290" i="1" s="1"/>
  <c r="K160" i="1"/>
  <c r="L160" i="1" s="1"/>
  <c r="K51" i="1"/>
  <c r="L51" i="1" s="1"/>
  <c r="K50" i="1"/>
  <c r="L50" i="1" s="1"/>
  <c r="K256" i="1"/>
  <c r="L256" i="1" s="1"/>
  <c r="K146" i="1"/>
  <c r="L146" i="1" s="1"/>
  <c r="K45" i="1"/>
  <c r="L45" i="1" s="1"/>
  <c r="K255" i="1"/>
  <c r="L255" i="1" s="1"/>
  <c r="K142" i="1"/>
  <c r="L142" i="1" s="1"/>
  <c r="K136" i="1"/>
  <c r="L136" i="1" s="1"/>
  <c r="K135" i="1"/>
  <c r="L135" i="1" s="1"/>
  <c r="K26" i="1"/>
  <c r="L26" i="1" s="1"/>
  <c r="K243" i="1"/>
  <c r="L243" i="1" s="1"/>
  <c r="K134" i="1"/>
  <c r="L134" i="1" s="1"/>
  <c r="K22" i="1"/>
  <c r="L22" i="1" s="1"/>
  <c r="K237" i="1"/>
  <c r="L237" i="1" s="1"/>
  <c r="K133" i="1"/>
  <c r="L133" i="1" s="1"/>
  <c r="K120" i="1"/>
  <c r="L120" i="1" s="1"/>
  <c r="K117" i="1"/>
  <c r="L117" i="1" s="1"/>
  <c r="K266" i="1"/>
  <c r="L266" i="1" s="1"/>
  <c r="K233" i="1"/>
  <c r="L233" i="1" s="1"/>
  <c r="K191" i="1"/>
  <c r="L191" i="1" s="1"/>
  <c r="K158" i="1"/>
  <c r="L158" i="1" s="1"/>
  <c r="K116" i="1"/>
  <c r="L116" i="1" s="1"/>
  <c r="K74" i="1"/>
  <c r="L74" i="1" s="1"/>
  <c r="K41" i="1"/>
  <c r="L41" i="1" s="1"/>
  <c r="K119" i="1"/>
  <c r="L119" i="1" s="1"/>
  <c r="K42" i="1"/>
  <c r="L42" i="1" s="1"/>
  <c r="K265" i="1"/>
  <c r="L265" i="1" s="1"/>
  <c r="K190" i="1"/>
  <c r="L190" i="1" s="1"/>
  <c r="K73" i="1"/>
  <c r="L73" i="1" s="1"/>
  <c r="K40" i="1"/>
  <c r="L40" i="1" s="1"/>
  <c r="K236" i="1"/>
  <c r="L236" i="1" s="1"/>
  <c r="K193" i="1"/>
  <c r="L193" i="1" s="1"/>
  <c r="K267" i="1"/>
  <c r="L267" i="1" s="1"/>
  <c r="K192" i="1"/>
  <c r="L192" i="1" s="1"/>
  <c r="K264" i="1"/>
  <c r="L264" i="1" s="1"/>
  <c r="K189" i="1"/>
  <c r="L189" i="1" s="1"/>
  <c r="K147" i="1"/>
  <c r="L147" i="1" s="1"/>
  <c r="K72" i="1"/>
  <c r="L72" i="1" s="1"/>
  <c r="K39" i="1"/>
  <c r="L39" i="1" s="1"/>
  <c r="K263" i="1"/>
  <c r="L263" i="1" s="1"/>
  <c r="K188" i="1"/>
  <c r="L188" i="1" s="1"/>
  <c r="K113" i="1"/>
  <c r="L113" i="1" s="1"/>
  <c r="K71" i="1"/>
  <c r="L71" i="1" s="1"/>
  <c r="K44" i="1"/>
  <c r="L44" i="1" s="1"/>
  <c r="K235" i="1"/>
  <c r="L235" i="1" s="1"/>
  <c r="K43" i="1"/>
  <c r="L43" i="1" s="1"/>
  <c r="K262" i="1"/>
  <c r="L262" i="1" s="1"/>
  <c r="K187" i="1"/>
  <c r="L187" i="1" s="1"/>
  <c r="K145" i="1"/>
  <c r="L145" i="1" s="1"/>
  <c r="K112" i="1"/>
  <c r="L112" i="1" s="1"/>
  <c r="K70" i="1"/>
  <c r="L70" i="1" s="1"/>
  <c r="K261" i="1"/>
  <c r="L261" i="1" s="1"/>
  <c r="K144" i="1"/>
  <c r="L144" i="1" s="1"/>
  <c r="K69" i="1"/>
  <c r="L69" i="1" s="1"/>
  <c r="K27" i="1"/>
  <c r="L27" i="1" s="1"/>
  <c r="K260" i="1"/>
  <c r="L260" i="1" s="1"/>
  <c r="K185" i="1"/>
  <c r="L185" i="1" s="1"/>
  <c r="K143" i="1"/>
  <c r="L143" i="1" s="1"/>
  <c r="K68" i="1"/>
  <c r="L68" i="1" s="1"/>
  <c r="K259" i="1"/>
  <c r="L259" i="1" s="1"/>
  <c r="K217" i="1"/>
  <c r="L217" i="1" s="1"/>
  <c r="K67" i="1"/>
  <c r="L67" i="1" s="1"/>
  <c r="K25" i="1"/>
  <c r="L25" i="1" s="1"/>
  <c r="K258" i="1"/>
  <c r="L258" i="1" s="1"/>
  <c r="K216" i="1"/>
  <c r="L216" i="1" s="1"/>
  <c r="K141" i="1"/>
  <c r="L141" i="1" s="1"/>
  <c r="K66" i="1"/>
  <c r="L66" i="1" s="1"/>
  <c r="K24" i="1"/>
  <c r="L24" i="1" s="1"/>
  <c r="K257" i="1"/>
  <c r="L257" i="1" s="1"/>
  <c r="K215" i="1"/>
  <c r="L215" i="1" s="1"/>
  <c r="K140" i="1"/>
  <c r="L140" i="1" s="1"/>
  <c r="K65" i="1"/>
  <c r="L65" i="1" s="1"/>
  <c r="K23" i="1"/>
  <c r="L23" i="1" s="1"/>
  <c r="K289" i="1"/>
  <c r="L289" i="1" s="1"/>
  <c r="K214" i="1"/>
  <c r="L214" i="1" s="1"/>
  <c r="K139" i="1"/>
  <c r="L139" i="1" s="1"/>
  <c r="K97" i="1"/>
  <c r="L97" i="1" s="1"/>
  <c r="K288" i="1"/>
  <c r="L288" i="1" s="1"/>
  <c r="K213" i="1"/>
  <c r="L213" i="1" s="1"/>
  <c r="K138" i="1"/>
  <c r="L138" i="1" s="1"/>
  <c r="K96" i="1"/>
  <c r="L96" i="1" s="1"/>
  <c r="K21" i="1"/>
  <c r="L21" i="1" s="1"/>
  <c r="K287" i="1"/>
  <c r="L287" i="1" s="1"/>
  <c r="K212" i="1"/>
  <c r="L212" i="1" s="1"/>
  <c r="K137" i="1"/>
  <c r="L137" i="1" s="1"/>
  <c r="K95" i="1"/>
  <c r="L95" i="1" s="1"/>
  <c r="K20" i="1"/>
  <c r="L20" i="1" s="1"/>
  <c r="K211" i="1"/>
  <c r="L211" i="1" s="1"/>
  <c r="K19" i="1"/>
  <c r="L19" i="1" s="1"/>
  <c r="K285" i="1"/>
  <c r="L285" i="1" s="1"/>
  <c r="K210" i="1"/>
  <c r="L210" i="1" s="1"/>
  <c r="K168" i="1"/>
  <c r="L168" i="1" s="1"/>
  <c r="K93" i="1"/>
  <c r="L93" i="1" s="1"/>
  <c r="K18" i="1"/>
  <c r="L18" i="1" s="1"/>
  <c r="K284" i="1"/>
  <c r="L284" i="1" s="1"/>
  <c r="K209" i="1"/>
  <c r="L209" i="1" s="1"/>
  <c r="K17" i="1"/>
  <c r="L17" i="1" s="1"/>
  <c r="K283" i="1"/>
  <c r="L283" i="1" s="1"/>
  <c r="K241" i="1"/>
  <c r="L241" i="1" s="1"/>
  <c r="K208" i="1"/>
  <c r="L208" i="1" s="1"/>
  <c r="K166" i="1"/>
  <c r="L166" i="1" s="1"/>
  <c r="K91" i="1"/>
  <c r="L91" i="1" s="1"/>
  <c r="K49" i="1"/>
  <c r="L49" i="1" s="1"/>
  <c r="K16" i="1"/>
  <c r="L16" i="1" s="1"/>
  <c r="K282" i="1"/>
  <c r="L282" i="1" s="1"/>
  <c r="K240" i="1"/>
  <c r="L240" i="1" s="1"/>
  <c r="K207" i="1"/>
  <c r="L207" i="1" s="1"/>
  <c r="K165" i="1"/>
  <c r="L165" i="1" s="1"/>
  <c r="K123" i="1"/>
  <c r="L123" i="1" s="1"/>
  <c r="K90" i="1"/>
  <c r="L90" i="1" s="1"/>
  <c r="K48" i="1"/>
  <c r="L48" i="1" s="1"/>
  <c r="K15" i="1"/>
  <c r="L15" i="1" s="1"/>
  <c r="K286" i="1"/>
  <c r="L286" i="1" s="1"/>
  <c r="K169" i="1"/>
  <c r="L169" i="1" s="1"/>
  <c r="K242" i="1"/>
  <c r="L242" i="1" s="1"/>
  <c r="K167" i="1"/>
  <c r="L167" i="1" s="1"/>
  <c r="K92" i="1"/>
  <c r="L92" i="1" s="1"/>
  <c r="K281" i="1"/>
  <c r="L281" i="1" s="1"/>
  <c r="K239" i="1"/>
  <c r="L239" i="1" s="1"/>
  <c r="K206" i="1"/>
  <c r="L206" i="1" s="1"/>
  <c r="K164" i="1"/>
  <c r="L164" i="1" s="1"/>
  <c r="K122" i="1"/>
  <c r="L122" i="1" s="1"/>
  <c r="K89" i="1"/>
  <c r="L89" i="1" s="1"/>
  <c r="K47" i="1"/>
  <c r="L47" i="1" s="1"/>
  <c r="K280" i="1"/>
  <c r="L280" i="1" s="1"/>
  <c r="K238" i="1"/>
  <c r="L238" i="1" s="1"/>
  <c r="K163" i="1"/>
  <c r="L163" i="1" s="1"/>
  <c r="K121" i="1"/>
  <c r="L121" i="1" s="1"/>
  <c r="K88" i="1"/>
  <c r="L88" i="1" s="1"/>
  <c r="K46" i="1"/>
  <c r="L46" i="1" s="1"/>
  <c r="K276" i="1"/>
  <c r="L276" i="1" s="1"/>
  <c r="K228" i="1"/>
  <c r="L228" i="1" s="1"/>
  <c r="K156" i="1"/>
  <c r="L156" i="1" s="1"/>
  <c r="K132" i="1"/>
  <c r="L132" i="1" s="1"/>
  <c r="K84" i="1"/>
  <c r="L84" i="1" s="1"/>
  <c r="K12" i="1"/>
  <c r="L12" i="1" s="1"/>
  <c r="K227" i="1"/>
  <c r="L227" i="1" s="1"/>
  <c r="K203" i="1"/>
  <c r="L203" i="1" s="1"/>
  <c r="K179" i="1"/>
  <c r="L179" i="1" s="1"/>
  <c r="K155" i="1"/>
  <c r="L155" i="1" s="1"/>
  <c r="K274" i="1"/>
  <c r="L274" i="1" s="1"/>
  <c r="K202" i="1"/>
  <c r="L202" i="1" s="1"/>
  <c r="K248" i="1"/>
  <c r="L248" i="1" s="1"/>
  <c r="K200" i="1"/>
  <c r="L200" i="1" s="1"/>
  <c r="K295" i="1"/>
  <c r="L295" i="1" s="1"/>
  <c r="K271" i="1"/>
  <c r="L271" i="1" s="1"/>
  <c r="K247" i="1"/>
  <c r="L247" i="1" s="1"/>
  <c r="K127" i="1"/>
  <c r="L127" i="1" s="1"/>
  <c r="K55" i="1"/>
  <c r="L55" i="1" s="1"/>
  <c r="K7" i="1"/>
  <c r="L7" i="1" s="1"/>
  <c r="K246" i="1"/>
  <c r="L246" i="1" s="1"/>
  <c r="K78" i="1"/>
  <c r="L78" i="1" s="1"/>
  <c r="K30" i="1"/>
  <c r="L30" i="1" s="1"/>
  <c r="K293" i="1"/>
  <c r="L293" i="1" s="1"/>
  <c r="K5" i="1"/>
  <c r="L5" i="1" s="1"/>
  <c r="N156" i="3" l="1"/>
  <c r="O156" i="3" s="1"/>
  <c r="N247" i="3"/>
  <c r="O247" i="3" s="1"/>
  <c r="N288" i="3"/>
  <c r="N78" i="3"/>
  <c r="N246" i="3"/>
  <c r="O246" i="3" s="1"/>
  <c r="N151" i="3"/>
  <c r="N201" i="3"/>
  <c r="N294" i="3"/>
  <c r="O294" i="3" s="1"/>
  <c r="N264" i="3"/>
  <c r="N88" i="3"/>
  <c r="O88" i="3" s="1"/>
  <c r="N111" i="3"/>
  <c r="O111" i="3" s="1"/>
  <c r="N177" i="3"/>
  <c r="O177" i="3" s="1"/>
  <c r="N79" i="3"/>
  <c r="O79" i="3" s="1"/>
  <c r="N121" i="3"/>
  <c r="O121" i="3" s="1"/>
  <c r="N147" i="3"/>
  <c r="O147" i="3" s="1"/>
  <c r="N165" i="3"/>
  <c r="O165" i="3" s="1"/>
  <c r="N155" i="3"/>
  <c r="N28" i="3"/>
  <c r="O28" i="3" s="1"/>
  <c r="N193" i="3"/>
  <c r="O193" i="3" s="1"/>
  <c r="N108" i="3"/>
  <c r="O108" i="3" s="1"/>
  <c r="N104" i="3"/>
  <c r="O104" i="3" s="1"/>
  <c r="N83" i="3"/>
  <c r="O83" i="3" s="1"/>
  <c r="N131" i="3"/>
  <c r="O131" i="3" s="1"/>
  <c r="N152" i="3"/>
  <c r="O152" i="3" s="1"/>
  <c r="N7" i="3"/>
  <c r="O7" i="3" s="1"/>
  <c r="N200" i="3"/>
  <c r="O200" i="3" s="1"/>
  <c r="N299" i="3"/>
  <c r="O299" i="3" s="1"/>
  <c r="N51" i="3"/>
  <c r="O51" i="3" s="1"/>
  <c r="N233" i="3"/>
  <c r="O233" i="3" s="1"/>
  <c r="N103" i="3"/>
  <c r="N267" i="3"/>
  <c r="O267" i="3" s="1"/>
  <c r="N65" i="3"/>
  <c r="O65" i="3" s="1"/>
  <c r="N97" i="3"/>
  <c r="O97" i="3" s="1"/>
  <c r="N289" i="3"/>
  <c r="O289" i="3" s="1"/>
  <c r="N145" i="3"/>
  <c r="O145" i="3" s="1"/>
  <c r="N54" i="3"/>
  <c r="O54" i="3" s="1"/>
  <c r="N146" i="3"/>
  <c r="O146" i="3" s="1"/>
  <c r="N172" i="3"/>
  <c r="O172" i="3" s="1"/>
  <c r="N266" i="3"/>
  <c r="N52" i="3"/>
  <c r="O52" i="3" s="1"/>
  <c r="N241" i="3"/>
  <c r="O241" i="3" s="1"/>
  <c r="N195" i="3"/>
  <c r="O195" i="3" s="1"/>
  <c r="N290" i="3"/>
  <c r="O290" i="3" s="1"/>
  <c r="N276" i="3"/>
  <c r="O276" i="3" s="1"/>
  <c r="N15" i="3"/>
  <c r="O15" i="3" s="1"/>
  <c r="N198" i="3"/>
  <c r="O198" i="3" s="1"/>
  <c r="N27" i="3"/>
  <c r="O27" i="3" s="1"/>
  <c r="N238" i="3"/>
  <c r="O238" i="3" s="1"/>
  <c r="M290" i="2"/>
  <c r="N290" i="2" s="1"/>
  <c r="M195" i="2"/>
  <c r="N195" i="2" s="1"/>
  <c r="N49" i="3"/>
  <c r="O49" i="3" s="1"/>
  <c r="N170" i="3"/>
  <c r="O170" i="3" s="1"/>
  <c r="N150" i="3"/>
  <c r="O150" i="3" s="1"/>
  <c r="N209" i="3"/>
  <c r="O209" i="3" s="1"/>
  <c r="N73" i="3"/>
  <c r="O73" i="3" s="1"/>
  <c r="N199" i="3"/>
  <c r="O199" i="3" s="1"/>
  <c r="N85" i="3"/>
  <c r="O85" i="3" s="1"/>
  <c r="N80" i="3"/>
  <c r="O80" i="3" s="1"/>
  <c r="N250" i="3"/>
  <c r="O250" i="3" s="1"/>
  <c r="N57" i="3"/>
  <c r="O57" i="3" s="1"/>
  <c r="N175" i="3"/>
  <c r="O175" i="3" s="1"/>
  <c r="N176" i="3"/>
  <c r="O176" i="3" s="1"/>
  <c r="N12" i="3"/>
  <c r="O12" i="3" s="1"/>
  <c r="N168" i="3"/>
  <c r="O168" i="3" s="1"/>
  <c r="N157" i="3"/>
  <c r="O157" i="3" s="1"/>
  <c r="N190" i="3"/>
  <c r="O190" i="3" s="1"/>
  <c r="N287" i="3"/>
  <c r="O287" i="3" s="1"/>
  <c r="N37" i="3"/>
  <c r="O37" i="3" s="1"/>
  <c r="N202" i="3"/>
  <c r="O202" i="3" s="1"/>
  <c r="N260" i="3"/>
  <c r="O260" i="3" s="1"/>
  <c r="N269" i="3"/>
  <c r="O269" i="3" s="1"/>
  <c r="N182" i="3"/>
  <c r="O182" i="3" s="1"/>
  <c r="N223" i="3"/>
  <c r="O223" i="3" s="1"/>
  <c r="N272" i="3"/>
  <c r="O272" i="3" s="1"/>
  <c r="N292" i="3"/>
  <c r="O292" i="3" s="1"/>
  <c r="N204" i="3"/>
  <c r="O204" i="3" s="1"/>
  <c r="N71" i="3"/>
  <c r="O71" i="3" s="1"/>
  <c r="N14" i="3"/>
  <c r="O14" i="3" s="1"/>
  <c r="N218" i="3"/>
  <c r="O218" i="3" s="1"/>
  <c r="N159" i="3"/>
  <c r="O159" i="3" s="1"/>
  <c r="N171" i="3"/>
  <c r="O171" i="3" s="1"/>
  <c r="N286" i="3"/>
  <c r="O286" i="3" s="1"/>
  <c r="N216" i="3"/>
  <c r="O216" i="3" s="1"/>
  <c r="N106" i="3"/>
  <c r="O106" i="3" s="1"/>
  <c r="N74" i="3"/>
  <c r="O74" i="3" s="1"/>
  <c r="N128" i="3"/>
  <c r="O128" i="3" s="1"/>
  <c r="N259" i="3"/>
  <c r="O259" i="3" s="1"/>
  <c r="N55" i="3"/>
  <c r="O55" i="3" s="1"/>
  <c r="N136" i="3"/>
  <c r="O136" i="3" s="1"/>
  <c r="N240" i="3"/>
  <c r="O240" i="3" s="1"/>
  <c r="N197" i="3"/>
  <c r="O197" i="3" s="1"/>
  <c r="N69" i="3"/>
  <c r="O69" i="3" s="1"/>
  <c r="N229" i="3"/>
  <c r="O229" i="3" s="1"/>
  <c r="N36" i="3"/>
  <c r="N25" i="3"/>
  <c r="O25" i="3" s="1"/>
  <c r="O103" i="3"/>
  <c r="N60" i="3"/>
  <c r="O60" i="3" s="1"/>
  <c r="N21" i="3"/>
  <c r="O21" i="3" s="1"/>
  <c r="N281" i="3"/>
  <c r="O281" i="3" s="1"/>
  <c r="N187" i="3"/>
  <c r="O187" i="3" s="1"/>
  <c r="O130" i="3"/>
  <c r="O77" i="3"/>
  <c r="N298" i="3"/>
  <c r="O298" i="3" s="1"/>
  <c r="N279" i="3"/>
  <c r="O279" i="3" s="1"/>
  <c r="N228" i="3"/>
  <c r="O228" i="3" s="1"/>
  <c r="O151" i="3"/>
  <c r="N20" i="3"/>
  <c r="O20" i="3" s="1"/>
  <c r="O123" i="3"/>
  <c r="N166" i="3"/>
  <c r="O166" i="3" s="1"/>
  <c r="N42" i="3"/>
  <c r="O42" i="3" s="1"/>
  <c r="O8" i="3"/>
  <c r="N110" i="3"/>
  <c r="O110" i="3" s="1"/>
  <c r="O129" i="3"/>
  <c r="N255" i="3"/>
  <c r="O255" i="3" s="1"/>
  <c r="N256" i="3"/>
  <c r="O256" i="3" s="1"/>
  <c r="N252" i="3"/>
  <c r="O252" i="3" s="1"/>
  <c r="N236" i="3"/>
  <c r="O236" i="3" s="1"/>
  <c r="N265" i="3"/>
  <c r="O265" i="3" s="1"/>
  <c r="N87" i="3"/>
  <c r="O87" i="3" s="1"/>
  <c r="O38" i="3"/>
  <c r="N235" i="3"/>
  <c r="O235" i="3" s="1"/>
  <c r="N113" i="3"/>
  <c r="O113" i="3" s="1"/>
  <c r="O214" i="3"/>
  <c r="N274" i="3"/>
  <c r="O274" i="3" s="1"/>
  <c r="N163" i="3"/>
  <c r="O163" i="3" s="1"/>
  <c r="N138" i="3"/>
  <c r="O138" i="3" s="1"/>
  <c r="N43" i="3"/>
  <c r="O43" i="3" s="1"/>
  <c r="N188" i="3"/>
  <c r="O188" i="3" s="1"/>
  <c r="O125" i="3"/>
  <c r="N33" i="3"/>
  <c r="O33" i="3" s="1"/>
  <c r="N285" i="3"/>
  <c r="O285" i="3" s="1"/>
  <c r="N242" i="3"/>
  <c r="O242" i="3" s="1"/>
  <c r="O284" i="3"/>
  <c r="O127" i="3"/>
  <c r="N253" i="3"/>
  <c r="O253" i="3" s="1"/>
  <c r="N141" i="3"/>
  <c r="O141" i="3" s="1"/>
  <c r="N137" i="3"/>
  <c r="O137" i="3" s="1"/>
  <c r="N61" i="3"/>
  <c r="O61" i="3" s="1"/>
  <c r="N297" i="3"/>
  <c r="O297" i="3" s="1"/>
  <c r="O75" i="3"/>
  <c r="O179" i="3"/>
  <c r="N230" i="3"/>
  <c r="O230" i="3" s="1"/>
  <c r="N68" i="3"/>
  <c r="O68" i="3" s="1"/>
  <c r="N300" i="3"/>
  <c r="O300" i="3" s="1"/>
  <c r="N210" i="3"/>
  <c r="O210" i="3" s="1"/>
  <c r="O101" i="3"/>
  <c r="N64" i="3"/>
  <c r="O64" i="3" s="1"/>
  <c r="O291" i="3"/>
  <c r="O149" i="3"/>
  <c r="N6" i="3"/>
  <c r="O6" i="3" s="1"/>
  <c r="N148" i="3"/>
  <c r="O148" i="3" s="1"/>
  <c r="N119" i="3"/>
  <c r="O119" i="3" s="1"/>
  <c r="N164" i="3"/>
  <c r="O164" i="3" s="1"/>
  <c r="N95" i="3"/>
  <c r="O95" i="3" s="1"/>
  <c r="N115" i="3"/>
  <c r="O115" i="3" s="1"/>
  <c r="N45" i="3"/>
  <c r="O45" i="3" s="1"/>
  <c r="N31" i="3"/>
  <c r="O31" i="3" s="1"/>
  <c r="N94" i="3"/>
  <c r="O94" i="3" s="1"/>
  <c r="N158" i="3"/>
  <c r="O158" i="3" s="1"/>
  <c r="N93" i="3"/>
  <c r="O93" i="3" s="1"/>
  <c r="O86" i="3"/>
  <c r="O249" i="3"/>
  <c r="O191" i="3"/>
  <c r="N208" i="3"/>
  <c r="O208" i="3" s="1"/>
  <c r="N232" i="3"/>
  <c r="O232" i="3" s="1"/>
  <c r="N161" i="3"/>
  <c r="O161" i="3" s="1"/>
  <c r="N126" i="3"/>
  <c r="O126" i="3" s="1"/>
  <c r="N124" i="3"/>
  <c r="O124" i="3" s="1"/>
  <c r="O26" i="3"/>
  <c r="N144" i="3"/>
  <c r="O144" i="3" s="1"/>
  <c r="N239" i="3"/>
  <c r="O239" i="3" s="1"/>
  <c r="N96" i="3"/>
  <c r="O96" i="3" s="1"/>
  <c r="N224" i="3"/>
  <c r="O224" i="3" s="1"/>
  <c r="N47" i="3"/>
  <c r="O47" i="3" s="1"/>
  <c r="N213" i="3"/>
  <c r="O213" i="3" s="1"/>
  <c r="N257" i="3"/>
  <c r="O257" i="3" s="1"/>
  <c r="N41" i="3"/>
  <c r="O41" i="3" s="1"/>
  <c r="N9" i="3"/>
  <c r="O9" i="3" s="1"/>
  <c r="N44" i="3"/>
  <c r="O44" i="3" s="1"/>
  <c r="O288" i="3"/>
  <c r="N92" i="3"/>
  <c r="O92" i="3" s="1"/>
  <c r="O105" i="3"/>
  <c r="N262" i="3"/>
  <c r="O262" i="3" s="1"/>
  <c r="N32" i="3"/>
  <c r="O32" i="3" s="1"/>
  <c r="O237" i="3"/>
  <c r="O13" i="3"/>
  <c r="O217" i="3"/>
  <c r="O76" i="3"/>
  <c r="N142" i="3"/>
  <c r="O142" i="3" s="1"/>
  <c r="N205" i="3"/>
  <c r="O205" i="3" s="1"/>
  <c r="N70" i="3"/>
  <c r="O70" i="3" s="1"/>
  <c r="N22" i="3"/>
  <c r="O22" i="3" s="1"/>
  <c r="N280" i="3"/>
  <c r="O280" i="3" s="1"/>
  <c r="O295" i="3"/>
  <c r="O173" i="3"/>
  <c r="N226" i="3"/>
  <c r="O226" i="3" s="1"/>
  <c r="O82" i="3"/>
  <c r="N207" i="3"/>
  <c r="O207" i="3" s="1"/>
  <c r="N184" i="3"/>
  <c r="O184" i="3" s="1"/>
  <c r="N301" i="3"/>
  <c r="O301" i="3" s="1"/>
  <c r="O109" i="3"/>
  <c r="N11" i="3"/>
  <c r="O11" i="3" s="1"/>
  <c r="N66" i="3"/>
  <c r="O66" i="3" s="1"/>
  <c r="N251" i="3"/>
  <c r="O251" i="3" s="1"/>
  <c r="N277" i="3"/>
  <c r="O277" i="3" s="1"/>
  <c r="N81" i="3"/>
  <c r="O81" i="3" s="1"/>
  <c r="N90" i="3"/>
  <c r="O90" i="3" s="1"/>
  <c r="N215" i="3"/>
  <c r="O215" i="3" s="1"/>
  <c r="N99" i="3"/>
  <c r="O99" i="3" s="1"/>
  <c r="N167" i="3"/>
  <c r="O167" i="3" s="1"/>
  <c r="O34" i="3"/>
  <c r="N112" i="3"/>
  <c r="O112" i="3" s="1"/>
  <c r="N185" i="3"/>
  <c r="O185" i="3" s="1"/>
  <c r="N222" i="3"/>
  <c r="O222" i="3" s="1"/>
  <c r="N296" i="3"/>
  <c r="O296" i="3" s="1"/>
  <c r="O243" i="3"/>
  <c r="N118" i="3"/>
  <c r="O118" i="3" s="1"/>
  <c r="O221" i="3"/>
  <c r="N160" i="3"/>
  <c r="O160" i="3" s="1"/>
  <c r="O220" i="3"/>
  <c r="N154" i="3"/>
  <c r="O154" i="3" s="1"/>
  <c r="O203" i="3"/>
  <c r="N245" i="3"/>
  <c r="O245" i="3" s="1"/>
  <c r="N89" i="3"/>
  <c r="O89" i="3" s="1"/>
  <c r="N122" i="3"/>
  <c r="O122" i="3" s="1"/>
  <c r="O16" i="3"/>
  <c r="N278" i="3"/>
  <c r="O278" i="3" s="1"/>
  <c r="N63" i="3"/>
  <c r="O63" i="3" s="1"/>
  <c r="O248" i="3"/>
  <c r="N186" i="3"/>
  <c r="O186" i="3" s="1"/>
  <c r="O53" i="3"/>
  <c r="N143" i="3"/>
  <c r="O143" i="3" s="1"/>
  <c r="N67" i="3"/>
  <c r="O67" i="3" s="1"/>
  <c r="N189" i="3"/>
  <c r="O189" i="3" s="1"/>
  <c r="N120" i="3"/>
  <c r="O120" i="3" s="1"/>
  <c r="N283" i="3"/>
  <c r="O283" i="3" s="1"/>
  <c r="N56" i="3"/>
  <c r="O56" i="3" s="1"/>
  <c r="N178" i="3"/>
  <c r="O178" i="3" s="1"/>
  <c r="N100" i="3"/>
  <c r="O100" i="3" s="1"/>
  <c r="M299" i="2"/>
  <c r="N299" i="2" s="1"/>
  <c r="M20" i="2"/>
  <c r="N20" i="2" s="1"/>
  <c r="M42" i="2"/>
  <c r="N42" i="2" s="1"/>
  <c r="M162" i="2"/>
  <c r="N162" i="2" s="1"/>
  <c r="M201" i="2"/>
  <c r="N201" i="2" s="1"/>
  <c r="M65" i="2"/>
  <c r="N65" i="2" s="1"/>
  <c r="M266" i="2"/>
  <c r="N266" i="2" s="1"/>
  <c r="M209" i="2"/>
  <c r="N209" i="2" s="1"/>
  <c r="M281" i="2"/>
  <c r="N281" i="2" s="1"/>
  <c r="M232" i="2"/>
  <c r="N232" i="2" s="1"/>
  <c r="M276" i="2"/>
  <c r="N276" i="2" s="1"/>
  <c r="M111" i="2"/>
  <c r="N111" i="2" s="1"/>
  <c r="M252" i="2"/>
  <c r="N252" i="2" s="1"/>
  <c r="M300" i="2"/>
  <c r="N300" i="2" s="1"/>
  <c r="M142" i="2"/>
  <c r="N142" i="2" s="1"/>
  <c r="M44" i="2"/>
  <c r="N44" i="2" s="1"/>
  <c r="M198" i="2"/>
  <c r="N198" i="2" s="1"/>
  <c r="M187" i="2"/>
  <c r="N187" i="2" s="1"/>
  <c r="M112" i="2"/>
  <c r="N112" i="2" s="1"/>
  <c r="M279" i="2"/>
  <c r="N279" i="2" s="1"/>
  <c r="M115" i="2"/>
  <c r="N115" i="2" s="1"/>
  <c r="M233" i="2"/>
  <c r="N233" i="2" s="1"/>
  <c r="M57" i="2"/>
  <c r="N57" i="2" s="1"/>
  <c r="M102" i="2"/>
  <c r="N102" i="2" s="1"/>
  <c r="M267" i="2"/>
  <c r="N267" i="2" s="1"/>
  <c r="M28" i="2"/>
  <c r="N28" i="2" s="1"/>
  <c r="M225" i="2"/>
  <c r="N225" i="2" s="1"/>
  <c r="M79" i="2"/>
  <c r="N79" i="2" s="1"/>
  <c r="M235" i="2"/>
  <c r="N235" i="2" s="1"/>
  <c r="M197" i="2"/>
  <c r="N197" i="2" s="1"/>
  <c r="M208" i="2"/>
  <c r="N208" i="2" s="1"/>
  <c r="M148" i="2"/>
  <c r="N148" i="2" s="1"/>
  <c r="M14" i="2"/>
  <c r="N14" i="2" s="1"/>
  <c r="M53" i="2"/>
  <c r="N53" i="2" s="1"/>
  <c r="M240" i="2"/>
  <c r="N240" i="2" s="1"/>
  <c r="M264" i="2"/>
  <c r="N264" i="2" s="1"/>
  <c r="M237" i="2"/>
  <c r="N237" i="2" s="1"/>
  <c r="M285" i="2"/>
  <c r="N285" i="2" s="1"/>
  <c r="M157" i="2"/>
  <c r="N157" i="2" s="1"/>
  <c r="M15" i="2"/>
  <c r="N15" i="2" s="1"/>
  <c r="M70" i="2"/>
  <c r="N70" i="2" s="1"/>
  <c r="M121" i="2"/>
  <c r="N121" i="2" s="1"/>
  <c r="M35" i="2"/>
  <c r="N35" i="2" s="1"/>
  <c r="M262" i="2"/>
  <c r="N262" i="2" s="1"/>
  <c r="M241" i="2"/>
  <c r="N241" i="2" s="1"/>
  <c r="M289" i="2"/>
  <c r="N289" i="2" s="1"/>
  <c r="M138" i="2"/>
  <c r="N138" i="2" s="1"/>
  <c r="M131" i="2"/>
  <c r="N131" i="2" s="1"/>
  <c r="M286" i="2"/>
  <c r="N286" i="2" s="1"/>
  <c r="M298" i="2"/>
  <c r="N298" i="2" s="1"/>
  <c r="M55" i="2"/>
  <c r="N55" i="2" s="1"/>
  <c r="M269" i="2"/>
  <c r="N269" i="2" s="1"/>
  <c r="M200" i="2"/>
  <c r="N200" i="2" s="1"/>
  <c r="M203" i="2"/>
  <c r="N203" i="2" s="1"/>
  <c r="M288" i="2"/>
  <c r="N288" i="2" s="1"/>
  <c r="M90" i="2"/>
  <c r="N90" i="2" s="1"/>
  <c r="M301" i="2"/>
  <c r="N301" i="2" s="1"/>
  <c r="M68" i="2"/>
  <c r="N68" i="2" s="1"/>
  <c r="M128" i="2"/>
  <c r="N128" i="2" s="1"/>
  <c r="M85" i="2"/>
  <c r="N85" i="2" s="1"/>
  <c r="M204" i="2"/>
  <c r="N204" i="2" s="1"/>
  <c r="M217" i="2"/>
  <c r="N217" i="2" s="1"/>
  <c r="M108" i="2"/>
  <c r="N108" i="2" s="1"/>
  <c r="M43" i="2"/>
  <c r="N43" i="2" s="1"/>
  <c r="M151" i="2"/>
  <c r="N151" i="2" s="1"/>
  <c r="M156" i="2"/>
  <c r="N156" i="2" s="1"/>
  <c r="M54" i="2"/>
  <c r="N54" i="2" s="1"/>
  <c r="M259" i="2"/>
  <c r="N259" i="2" s="1"/>
  <c r="M165" i="2"/>
  <c r="N165" i="2" s="1"/>
  <c r="M238" i="2"/>
  <c r="N238" i="2" s="1"/>
  <c r="M7" i="2"/>
  <c r="N7" i="2" s="1"/>
  <c r="M9" i="2"/>
  <c r="N9" i="2" s="1"/>
  <c r="M31" i="2"/>
  <c r="N31" i="2" s="1"/>
  <c r="M83" i="2"/>
  <c r="N83" i="2" s="1"/>
  <c r="M107" i="2"/>
  <c r="N107" i="2" s="1"/>
  <c r="M159" i="2"/>
  <c r="N159" i="2" s="1"/>
  <c r="M97" i="2"/>
  <c r="N97" i="2" s="1"/>
  <c r="M146" i="2"/>
  <c r="N146" i="2" s="1"/>
  <c r="M250" i="2"/>
  <c r="N250" i="2" s="1"/>
  <c r="M175" i="2"/>
  <c r="N175" i="2" s="1"/>
  <c r="M36" i="2"/>
  <c r="N36" i="2" s="1"/>
  <c r="M210" i="2"/>
  <c r="N210" i="2" s="1"/>
  <c r="M60" i="2"/>
  <c r="N60" i="2" s="1"/>
  <c r="M145" i="2"/>
  <c r="N145" i="2" s="1"/>
  <c r="M118" i="2"/>
  <c r="N118" i="2" s="1"/>
  <c r="M155" i="2"/>
  <c r="N155" i="2" s="1"/>
  <c r="M32" i="2"/>
  <c r="N32" i="2" s="1"/>
  <c r="M190" i="2"/>
  <c r="N190" i="2" s="1"/>
  <c r="M193" i="2"/>
  <c r="N193" i="2" s="1"/>
  <c r="M95" i="2"/>
  <c r="N95" i="2" s="1"/>
  <c r="M154" i="2"/>
  <c r="N154" i="2" s="1"/>
  <c r="M71" i="2"/>
  <c r="N71" i="2" s="1"/>
  <c r="M293" i="2"/>
  <c r="N293" i="2" s="1"/>
  <c r="M249" i="2"/>
  <c r="N249" i="2" s="1"/>
  <c r="M170" i="2"/>
  <c r="N170" i="2" s="1"/>
  <c r="M136" i="2"/>
  <c r="N136" i="2" s="1"/>
  <c r="M246" i="2"/>
  <c r="N246" i="2" s="1"/>
  <c r="M229" i="2"/>
  <c r="N229" i="2" s="1"/>
  <c r="M189" i="2"/>
  <c r="N189" i="2" s="1"/>
  <c r="M88" i="2"/>
  <c r="N88" i="2" s="1"/>
  <c r="M287" i="2"/>
  <c r="N287" i="2" s="1"/>
  <c r="M152" i="2"/>
  <c r="N152" i="2" s="1"/>
  <c r="M256" i="2"/>
  <c r="N256" i="2" s="1"/>
  <c r="M80" i="2"/>
  <c r="N80" i="2" s="1"/>
  <c r="M104" i="2"/>
  <c r="N104" i="2" s="1"/>
  <c r="M182" i="2"/>
  <c r="N182" i="2" s="1"/>
  <c r="M247" i="2"/>
  <c r="N247" i="2" s="1"/>
  <c r="M176" i="2"/>
  <c r="N176" i="2" s="1"/>
  <c r="M199" i="2"/>
  <c r="N199" i="2" s="1"/>
  <c r="M253" i="2"/>
  <c r="N253" i="2" s="1"/>
  <c r="M103" i="2"/>
  <c r="N103" i="2" s="1"/>
  <c r="M78" i="2"/>
  <c r="N78" i="2" s="1"/>
  <c r="M106" i="2"/>
  <c r="N106" i="2" s="1"/>
  <c r="M280" i="2"/>
  <c r="N280" i="2" s="1"/>
  <c r="M69" i="2"/>
  <c r="N69" i="2" s="1"/>
  <c r="M144" i="2"/>
  <c r="N144" i="2" s="1"/>
  <c r="M37" i="2"/>
  <c r="N37" i="2" s="1"/>
  <c r="M81" i="2"/>
  <c r="N81" i="2" s="1"/>
  <c r="M294" i="2"/>
  <c r="N294" i="2" s="1"/>
  <c r="M143" i="2"/>
  <c r="N143" i="2" s="1"/>
  <c r="M140" i="2"/>
  <c r="N140" i="2" s="1"/>
  <c r="M202" i="2"/>
  <c r="N202" i="2" s="1"/>
  <c r="M93" i="2"/>
  <c r="N93" i="2" s="1"/>
  <c r="M168" i="2"/>
  <c r="N168" i="2" s="1"/>
  <c r="M292" i="2"/>
  <c r="N292" i="2" s="1"/>
  <c r="M74" i="2"/>
  <c r="N74" i="2" s="1"/>
  <c r="M283" i="2"/>
  <c r="N283" i="2" s="1"/>
  <c r="M223" i="2"/>
  <c r="N223" i="2" s="1"/>
  <c r="M172" i="2"/>
  <c r="N172" i="2" s="1"/>
  <c r="M215" i="2"/>
  <c r="N215" i="2" s="1"/>
  <c r="M205" i="2"/>
  <c r="N205" i="2" s="1"/>
  <c r="M188" i="2"/>
  <c r="N188" i="2" s="1"/>
  <c r="M260" i="2"/>
  <c r="N260" i="2" s="1"/>
  <c r="M39" i="2"/>
  <c r="N39" i="2" s="1"/>
  <c r="M150" i="2"/>
  <c r="N150" i="2" s="1"/>
  <c r="M110" i="2"/>
  <c r="N110" i="2" s="1"/>
  <c r="M216" i="2"/>
  <c r="N216" i="2" s="1"/>
  <c r="M268" i="2"/>
  <c r="N268" i="2" s="1"/>
  <c r="M218" i="2"/>
  <c r="N218" i="2" s="1"/>
  <c r="M179" i="2"/>
  <c r="N179" i="2" s="1"/>
  <c r="O39" i="3"/>
  <c r="O201" i="3"/>
  <c r="O264" i="3"/>
  <c r="O140" i="3"/>
  <c r="O266" i="3"/>
  <c r="O155" i="3"/>
  <c r="O36" i="3"/>
  <c r="O78" i="3"/>
  <c r="O293" i="3"/>
  <c r="O225" i="3"/>
  <c r="O162" i="3"/>
</calcChain>
</file>

<file path=xl/sharedStrings.xml><?xml version="1.0" encoding="utf-8"?>
<sst xmlns="http://schemas.openxmlformats.org/spreadsheetml/2006/main" count="65" uniqueCount="19">
  <si>
    <t>h</t>
  </si>
  <si>
    <t>Triangular Channel</t>
  </si>
  <si>
    <t>Manning's n</t>
  </si>
  <si>
    <t>Channel Slope</t>
  </si>
  <si>
    <t>Side Slope</t>
  </si>
  <si>
    <t>location X0</t>
  </si>
  <si>
    <t>Rectangular Overbank</t>
  </si>
  <si>
    <t>Overbank width (ft)</t>
  </si>
  <si>
    <t>location X1</t>
  </si>
  <si>
    <t>Q</t>
  </si>
  <si>
    <t>coefficient alpha</t>
  </si>
  <si>
    <t>exponent beta</t>
  </si>
  <si>
    <t>sigma</t>
  </si>
  <si>
    <t>Q+e</t>
  </si>
  <si>
    <t>Q1</t>
  </si>
  <si>
    <t>Q2</t>
  </si>
  <si>
    <t>r1</t>
  </si>
  <si>
    <t>r2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</si>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</sst>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Stage-Discharge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 Segment'!$L$3:$L$302</c:f>
              <c:numCache>
                <c:formatCode>General</c:formatCode>
                <c:ptCount val="300"/>
                <c:pt idx="0">
                  <c:v>5.6624675097473265</c:v>
                </c:pt>
                <c:pt idx="1">
                  <c:v>57.226535898424515</c:v>
                </c:pt>
                <c:pt idx="2">
                  <c:v>124.29780609826862</c:v>
                </c:pt>
                <c:pt idx="3">
                  <c:v>536.13299844555934</c:v>
                </c:pt>
                <c:pt idx="4">
                  <c:v>1084.1008689832772</c:v>
                </c:pt>
                <c:pt idx="5">
                  <c:v>1.9635127241419799</c:v>
                </c:pt>
                <c:pt idx="6">
                  <c:v>1493.3604338377722</c:v>
                </c:pt>
                <c:pt idx="7">
                  <c:v>156.54803421412683</c:v>
                </c:pt>
                <c:pt idx="8">
                  <c:v>3.1869045344638582</c:v>
                </c:pt>
                <c:pt idx="9">
                  <c:v>5008.7524576668238</c:v>
                </c:pt>
                <c:pt idx="10">
                  <c:v>467.28439649588813</c:v>
                </c:pt>
                <c:pt idx="11">
                  <c:v>1866.1448281769381</c:v>
                </c:pt>
                <c:pt idx="12">
                  <c:v>1995.3226871445022</c:v>
                </c:pt>
                <c:pt idx="13">
                  <c:v>28.188351083497615</c:v>
                </c:pt>
                <c:pt idx="14">
                  <c:v>63.157286775050721</c:v>
                </c:pt>
                <c:pt idx="15">
                  <c:v>78.667359197778126</c:v>
                </c:pt>
                <c:pt idx="16">
                  <c:v>25.482996099575715</c:v>
                </c:pt>
                <c:pt idx="17">
                  <c:v>872.66845966273047</c:v>
                </c:pt>
                <c:pt idx="18">
                  <c:v>1.5843062398931438</c:v>
                </c:pt>
                <c:pt idx="19">
                  <c:v>5.0646959745763844</c:v>
                </c:pt>
                <c:pt idx="20">
                  <c:v>253.31962429454532</c:v>
                </c:pt>
                <c:pt idx="21">
                  <c:v>697.33326980736069</c:v>
                </c:pt>
                <c:pt idx="22">
                  <c:v>3882.0952406696538</c:v>
                </c:pt>
                <c:pt idx="23">
                  <c:v>239.23141722822342</c:v>
                </c:pt>
                <c:pt idx="24">
                  <c:v>2007.6268023133707</c:v>
                </c:pt>
                <c:pt idx="25">
                  <c:v>4581.2787023645851</c:v>
                </c:pt>
                <c:pt idx="26">
                  <c:v>79.930966697439857</c:v>
                </c:pt>
                <c:pt idx="27">
                  <c:v>30.242732712716244</c:v>
                </c:pt>
                <c:pt idx="28">
                  <c:v>3657.9879087380027</c:v>
                </c:pt>
                <c:pt idx="29">
                  <c:v>2217.9372905666905</c:v>
                </c:pt>
                <c:pt idx="30">
                  <c:v>1.0960921621311659</c:v>
                </c:pt>
                <c:pt idx="31">
                  <c:v>191.33225634489855</c:v>
                </c:pt>
                <c:pt idx="32">
                  <c:v>721.7939982263631</c:v>
                </c:pt>
                <c:pt idx="33">
                  <c:v>1141.5980698916539</c:v>
                </c:pt>
                <c:pt idx="34">
                  <c:v>2473.2040994381587</c:v>
                </c:pt>
                <c:pt idx="35">
                  <c:v>51.990517518016567</c:v>
                </c:pt>
                <c:pt idx="36">
                  <c:v>736.28241244407673</c:v>
                </c:pt>
                <c:pt idx="37">
                  <c:v>17.92362797137082</c:v>
                </c:pt>
                <c:pt idx="38">
                  <c:v>237.8703654344427</c:v>
                </c:pt>
                <c:pt idx="39">
                  <c:v>2417.6215715096328</c:v>
                </c:pt>
                <c:pt idx="40">
                  <c:v>2158.9103549822621</c:v>
                </c:pt>
                <c:pt idx="41">
                  <c:v>4209.5758520461923</c:v>
                </c:pt>
                <c:pt idx="42">
                  <c:v>120.28520840597703</c:v>
                </c:pt>
                <c:pt idx="43">
                  <c:v>0.46253348710802711</c:v>
                </c:pt>
                <c:pt idx="44">
                  <c:v>549.18860903629889</c:v>
                </c:pt>
                <c:pt idx="45">
                  <c:v>389.48535563397132</c:v>
                </c:pt>
                <c:pt idx="46">
                  <c:v>4023.7523480161385</c:v>
                </c:pt>
                <c:pt idx="47">
                  <c:v>506.89349316613783</c:v>
                </c:pt>
                <c:pt idx="48">
                  <c:v>2397.4773245384599</c:v>
                </c:pt>
                <c:pt idx="49">
                  <c:v>4907.1634394457878</c:v>
                </c:pt>
                <c:pt idx="50">
                  <c:v>973.90207136945946</c:v>
                </c:pt>
                <c:pt idx="51">
                  <c:v>1351.6770802035501</c:v>
                </c:pt>
                <c:pt idx="52">
                  <c:v>1660.4507305599848</c:v>
                </c:pt>
                <c:pt idx="53">
                  <c:v>69.971041265926161</c:v>
                </c:pt>
                <c:pt idx="54">
                  <c:v>1114.7273037575853</c:v>
                </c:pt>
                <c:pt idx="55">
                  <c:v>0.5357909461428445</c:v>
                </c:pt>
                <c:pt idx="56">
                  <c:v>172.05013195792628</c:v>
                </c:pt>
                <c:pt idx="57">
                  <c:v>1696.673611070531</c:v>
                </c:pt>
                <c:pt idx="58">
                  <c:v>205.44827114688877</c:v>
                </c:pt>
                <c:pt idx="59">
                  <c:v>381.82079647274975</c:v>
                </c:pt>
                <c:pt idx="60">
                  <c:v>374.45091085228262</c:v>
                </c:pt>
                <c:pt idx="61">
                  <c:v>9.7835123256772398E-3</c:v>
                </c:pt>
                <c:pt idx="62">
                  <c:v>1717.153176641493</c:v>
                </c:pt>
                <c:pt idx="63">
                  <c:v>515.86174301073993</c:v>
                </c:pt>
                <c:pt idx="64">
                  <c:v>350.51209622475409</c:v>
                </c:pt>
                <c:pt idx="65">
                  <c:v>1595.5151247748438</c:v>
                </c:pt>
                <c:pt idx="66">
                  <c:v>2136.2830449511998</c:v>
                </c:pt>
                <c:pt idx="67">
                  <c:v>639.52866206239582</c:v>
                </c:pt>
                <c:pt idx="68">
                  <c:v>4179.789146887646</c:v>
                </c:pt>
                <c:pt idx="69">
                  <c:v>17.373761233595815</c:v>
                </c:pt>
                <c:pt idx="70">
                  <c:v>4347.7738326947101</c:v>
                </c:pt>
                <c:pt idx="71">
                  <c:v>807.39268369270292</c:v>
                </c:pt>
                <c:pt idx="72">
                  <c:v>73.787187718676932</c:v>
                </c:pt>
                <c:pt idx="73">
                  <c:v>210.74721125023902</c:v>
                </c:pt>
                <c:pt idx="74">
                  <c:v>600.34757150002508</c:v>
                </c:pt>
                <c:pt idx="75">
                  <c:v>860.56282269878659</c:v>
                </c:pt>
                <c:pt idx="76">
                  <c:v>758.13877829429885</c:v>
                </c:pt>
                <c:pt idx="77">
                  <c:v>3477.4438104493734</c:v>
                </c:pt>
                <c:pt idx="78">
                  <c:v>2099.87998864053</c:v>
                </c:pt>
                <c:pt idx="79">
                  <c:v>93.777347998930068</c:v>
                </c:pt>
                <c:pt idx="80">
                  <c:v>1134.7070258263536</c:v>
                </c:pt>
                <c:pt idx="81">
                  <c:v>223.74885069722453</c:v>
                </c:pt>
                <c:pt idx="82">
                  <c:v>3266.4889350417297</c:v>
                </c:pt>
                <c:pt idx="83">
                  <c:v>4.6053711871965861</c:v>
                </c:pt>
                <c:pt idx="84">
                  <c:v>33.827868530704343</c:v>
                </c:pt>
                <c:pt idx="85">
                  <c:v>1132.1755739069833</c:v>
                </c:pt>
                <c:pt idx="86">
                  <c:v>4063.7551284140604</c:v>
                </c:pt>
                <c:pt idx="87">
                  <c:v>4054.6730999508154</c:v>
                </c:pt>
                <c:pt idx="88">
                  <c:v>95.202205557597239</c:v>
                </c:pt>
                <c:pt idx="89">
                  <c:v>23.238789770027008</c:v>
                </c:pt>
                <c:pt idx="90">
                  <c:v>814.36843794822732</c:v>
                </c:pt>
                <c:pt idx="91">
                  <c:v>364.57786751704361</c:v>
                </c:pt>
                <c:pt idx="92">
                  <c:v>1643.9157948580087</c:v>
                </c:pt>
                <c:pt idx="93">
                  <c:v>0.21295404222902622</c:v>
                </c:pt>
                <c:pt idx="94">
                  <c:v>814.86010251352616</c:v>
                </c:pt>
                <c:pt idx="95">
                  <c:v>437.30159977472351</c:v>
                </c:pt>
                <c:pt idx="96">
                  <c:v>9.9338617158348157</c:v>
                </c:pt>
                <c:pt idx="97">
                  <c:v>254.32255249124472</c:v>
                </c:pt>
                <c:pt idx="98">
                  <c:v>132.51425688669488</c:v>
                </c:pt>
                <c:pt idx="99">
                  <c:v>4981.9798343645643</c:v>
                </c:pt>
                <c:pt idx="100">
                  <c:v>3080.4186911143447</c:v>
                </c:pt>
                <c:pt idx="101">
                  <c:v>1609.1288660693099</c:v>
                </c:pt>
                <c:pt idx="102">
                  <c:v>63.69223912756496</c:v>
                </c:pt>
                <c:pt idx="103">
                  <c:v>3350.7073542227113</c:v>
                </c:pt>
                <c:pt idx="104">
                  <c:v>1653.8212893705413</c:v>
                </c:pt>
                <c:pt idx="105">
                  <c:v>4110.9388159581868</c:v>
                </c:pt>
                <c:pt idx="106">
                  <c:v>37.700435727825017</c:v>
                </c:pt>
                <c:pt idx="107">
                  <c:v>1578.1575610055761</c:v>
                </c:pt>
                <c:pt idx="108">
                  <c:v>2150.6302138008737</c:v>
                </c:pt>
                <c:pt idx="109">
                  <c:v>2301.6696361759514</c:v>
                </c:pt>
                <c:pt idx="110">
                  <c:v>338.15929351098407</c:v>
                </c:pt>
                <c:pt idx="111">
                  <c:v>283.25795044296149</c:v>
                </c:pt>
                <c:pt idx="112">
                  <c:v>1481.2089898289096</c:v>
                </c:pt>
                <c:pt idx="113">
                  <c:v>400.15004520896866</c:v>
                </c:pt>
                <c:pt idx="114">
                  <c:v>279.95956061488192</c:v>
                </c:pt>
                <c:pt idx="115">
                  <c:v>4004.5988240807942</c:v>
                </c:pt>
                <c:pt idx="116">
                  <c:v>13.525852610477367</c:v>
                </c:pt>
                <c:pt idx="117">
                  <c:v>8.436618783902416</c:v>
                </c:pt>
                <c:pt idx="118">
                  <c:v>3561.5504240741743</c:v>
                </c:pt>
                <c:pt idx="119">
                  <c:v>355.05146842694654</c:v>
                </c:pt>
                <c:pt idx="120">
                  <c:v>351.15792440872156</c:v>
                </c:pt>
                <c:pt idx="121">
                  <c:v>20.769854996404774</c:v>
                </c:pt>
                <c:pt idx="122">
                  <c:v>423.64866830004621</c:v>
                </c:pt>
                <c:pt idx="123">
                  <c:v>40.713115444000969</c:v>
                </c:pt>
                <c:pt idx="124">
                  <c:v>452.33182605315091</c:v>
                </c:pt>
                <c:pt idx="125">
                  <c:v>751.19358368639564</c:v>
                </c:pt>
                <c:pt idx="126">
                  <c:v>51.429396827937971</c:v>
                </c:pt>
                <c:pt idx="127">
                  <c:v>0.32143431290193192</c:v>
                </c:pt>
                <c:pt idx="128">
                  <c:v>2833.1833538180099</c:v>
                </c:pt>
                <c:pt idx="129">
                  <c:v>381.51973361066638</c:v>
                </c:pt>
                <c:pt idx="130">
                  <c:v>92.259198966345821</c:v>
                </c:pt>
                <c:pt idx="131">
                  <c:v>0.14333870727000894</c:v>
                </c:pt>
                <c:pt idx="132">
                  <c:v>136.525508653641</c:v>
                </c:pt>
                <c:pt idx="133">
                  <c:v>2650.7575278279232</c:v>
                </c:pt>
                <c:pt idx="134">
                  <c:v>306.06333849439841</c:v>
                </c:pt>
                <c:pt idx="135">
                  <c:v>2167.5648300720504</c:v>
                </c:pt>
                <c:pt idx="136">
                  <c:v>3.8267736975743194</c:v>
                </c:pt>
                <c:pt idx="137">
                  <c:v>1058.3514117777074</c:v>
                </c:pt>
                <c:pt idx="138">
                  <c:v>227.82252160973277</c:v>
                </c:pt>
                <c:pt idx="139">
                  <c:v>840.90368014142541</c:v>
                </c:pt>
                <c:pt idx="140">
                  <c:v>3851.0269949429285</c:v>
                </c:pt>
                <c:pt idx="141">
                  <c:v>3847.0975590186044</c:v>
                </c:pt>
                <c:pt idx="142">
                  <c:v>4636.0571327908228</c:v>
                </c:pt>
                <c:pt idx="143">
                  <c:v>4414.5950018341709</c:v>
                </c:pt>
                <c:pt idx="144">
                  <c:v>1513.5253774279599</c:v>
                </c:pt>
                <c:pt idx="145">
                  <c:v>3774.6931602782865</c:v>
                </c:pt>
                <c:pt idx="146">
                  <c:v>545.07110358094576</c:v>
                </c:pt>
                <c:pt idx="147">
                  <c:v>2356.8553446203305</c:v>
                </c:pt>
                <c:pt idx="148">
                  <c:v>813.45840534532306</c:v>
                </c:pt>
                <c:pt idx="149">
                  <c:v>807.40244073349618</c:v>
                </c:pt>
                <c:pt idx="150">
                  <c:v>3941.1834791470651</c:v>
                </c:pt>
                <c:pt idx="151">
                  <c:v>1187.0289796237134</c:v>
                </c:pt>
                <c:pt idx="152">
                  <c:v>650.1800184508844</c:v>
                </c:pt>
                <c:pt idx="153">
                  <c:v>2753.8582037498732</c:v>
                </c:pt>
                <c:pt idx="154">
                  <c:v>1626.9554538081734</c:v>
                </c:pt>
                <c:pt idx="155">
                  <c:v>200.147991174601</c:v>
                </c:pt>
                <c:pt idx="156">
                  <c:v>3326.4729610949498</c:v>
                </c:pt>
                <c:pt idx="157">
                  <c:v>337.02638780897922</c:v>
                </c:pt>
                <c:pt idx="158">
                  <c:v>4.9885974104186088</c:v>
                </c:pt>
                <c:pt idx="159">
                  <c:v>660.42933935891961</c:v>
                </c:pt>
                <c:pt idx="160">
                  <c:v>13.319356459220192</c:v>
                </c:pt>
                <c:pt idx="161">
                  <c:v>29.65096651843027</c:v>
                </c:pt>
                <c:pt idx="162">
                  <c:v>722.70532041668241</c:v>
                </c:pt>
                <c:pt idx="163">
                  <c:v>54.990660932430366</c:v>
                </c:pt>
                <c:pt idx="164">
                  <c:v>446.7043497590156</c:v>
                </c:pt>
                <c:pt idx="165">
                  <c:v>2314.0674223214346</c:v>
                </c:pt>
                <c:pt idx="166">
                  <c:v>408.36790025969958</c:v>
                </c:pt>
                <c:pt idx="167">
                  <c:v>2634.385933596428</c:v>
                </c:pt>
                <c:pt idx="168">
                  <c:v>3228.399779079783</c:v>
                </c:pt>
                <c:pt idx="169">
                  <c:v>3068.1338312906178</c:v>
                </c:pt>
                <c:pt idx="170">
                  <c:v>633.06430576376113</c:v>
                </c:pt>
                <c:pt idx="171">
                  <c:v>350.19117932945852</c:v>
                </c:pt>
                <c:pt idx="172">
                  <c:v>3615.8430288804971</c:v>
                </c:pt>
                <c:pt idx="173">
                  <c:v>795.92329029606435</c:v>
                </c:pt>
                <c:pt idx="174">
                  <c:v>2158.5830876228729</c:v>
                </c:pt>
                <c:pt idx="175">
                  <c:v>218.64360494170785</c:v>
                </c:pt>
                <c:pt idx="176">
                  <c:v>1511.6356911058563</c:v>
                </c:pt>
                <c:pt idx="177">
                  <c:v>236.82407771671947</c:v>
                </c:pt>
                <c:pt idx="178">
                  <c:v>26.866151723703968</c:v>
                </c:pt>
                <c:pt idx="179">
                  <c:v>2237.4162423687962</c:v>
                </c:pt>
                <c:pt idx="180">
                  <c:v>538.10209882651122</c:v>
                </c:pt>
                <c:pt idx="181">
                  <c:v>425.32530193406245</c:v>
                </c:pt>
                <c:pt idx="182">
                  <c:v>4606.2313468657267</c:v>
                </c:pt>
                <c:pt idx="183">
                  <c:v>383.97035628172483</c:v>
                </c:pt>
                <c:pt idx="184">
                  <c:v>3164.5160520530744</c:v>
                </c:pt>
                <c:pt idx="185">
                  <c:v>1399.1916325514956</c:v>
                </c:pt>
                <c:pt idx="186">
                  <c:v>3310.7240646299156</c:v>
                </c:pt>
                <c:pt idx="187">
                  <c:v>3997.1728633856733</c:v>
                </c:pt>
                <c:pt idx="188">
                  <c:v>130.88676120367819</c:v>
                </c:pt>
                <c:pt idx="189">
                  <c:v>111.33977886540696</c:v>
                </c:pt>
                <c:pt idx="190">
                  <c:v>3922.0189725258128</c:v>
                </c:pt>
                <c:pt idx="191">
                  <c:v>402.28577664028501</c:v>
                </c:pt>
                <c:pt idx="192">
                  <c:v>896.28524325816409</c:v>
                </c:pt>
                <c:pt idx="193">
                  <c:v>223.94680294318675</c:v>
                </c:pt>
                <c:pt idx="194">
                  <c:v>3385.7215849487166</c:v>
                </c:pt>
                <c:pt idx="195">
                  <c:v>2383.8711646356664</c:v>
                </c:pt>
                <c:pt idx="196">
                  <c:v>2578.2888766591182</c:v>
                </c:pt>
                <c:pt idx="197">
                  <c:v>3029.9364884524557</c:v>
                </c:pt>
                <c:pt idx="198">
                  <c:v>979.05442347586984</c:v>
                </c:pt>
                <c:pt idx="199">
                  <c:v>895.67195615662092</c:v>
                </c:pt>
                <c:pt idx="200">
                  <c:v>850.76133074429322</c:v>
                </c:pt>
                <c:pt idx="201">
                  <c:v>1069.3446954955962</c:v>
                </c:pt>
                <c:pt idx="202">
                  <c:v>2560.6238722025187</c:v>
                </c:pt>
                <c:pt idx="203">
                  <c:v>544.06916222183054</c:v>
                </c:pt>
                <c:pt idx="204">
                  <c:v>462.23297229455812</c:v>
                </c:pt>
                <c:pt idx="205">
                  <c:v>1438.7872740727073</c:v>
                </c:pt>
                <c:pt idx="206">
                  <c:v>4434.1829185298775</c:v>
                </c:pt>
                <c:pt idx="207">
                  <c:v>599.56630105616216</c:v>
                </c:pt>
                <c:pt idx="208">
                  <c:v>200.19534981711465</c:v>
                </c:pt>
                <c:pt idx="209">
                  <c:v>1.9809624761320641</c:v>
                </c:pt>
                <c:pt idx="210">
                  <c:v>154.636034885751</c:v>
                </c:pt>
                <c:pt idx="211">
                  <c:v>253.59017290386078</c:v>
                </c:pt>
                <c:pt idx="212">
                  <c:v>1213.3306533079658</c:v>
                </c:pt>
                <c:pt idx="213">
                  <c:v>1411.6375861324116</c:v>
                </c:pt>
                <c:pt idx="214">
                  <c:v>639.53134187440378</c:v>
                </c:pt>
                <c:pt idx="215">
                  <c:v>823.03653469919743</c:v>
                </c:pt>
                <c:pt idx="216">
                  <c:v>419.99199992130258</c:v>
                </c:pt>
                <c:pt idx="217">
                  <c:v>30.928986605599604</c:v>
                </c:pt>
                <c:pt idx="218">
                  <c:v>14.469365695941184</c:v>
                </c:pt>
                <c:pt idx="219">
                  <c:v>469.9568423429734</c:v>
                </c:pt>
                <c:pt idx="220">
                  <c:v>2712.1365195545714</c:v>
                </c:pt>
                <c:pt idx="221">
                  <c:v>295.56358747861384</c:v>
                </c:pt>
                <c:pt idx="222">
                  <c:v>725.55281117567301</c:v>
                </c:pt>
                <c:pt idx="223">
                  <c:v>1.1647199232339559E-2</c:v>
                </c:pt>
                <c:pt idx="224">
                  <c:v>111.76946683896314</c:v>
                </c:pt>
                <c:pt idx="225">
                  <c:v>48.818399606772473</c:v>
                </c:pt>
                <c:pt idx="226">
                  <c:v>909.83929690040623</c:v>
                </c:pt>
                <c:pt idx="227">
                  <c:v>156.26493522450511</c:v>
                </c:pt>
                <c:pt idx="228">
                  <c:v>43.634065421133592</c:v>
                </c:pt>
                <c:pt idx="229">
                  <c:v>2539.4727294586082</c:v>
                </c:pt>
                <c:pt idx="230">
                  <c:v>870.23524176958233</c:v>
                </c:pt>
                <c:pt idx="231">
                  <c:v>45.148282397871505</c:v>
                </c:pt>
                <c:pt idx="232">
                  <c:v>822.10881066436025</c:v>
                </c:pt>
                <c:pt idx="233">
                  <c:v>6.9410968710865291</c:v>
                </c:pt>
                <c:pt idx="234">
                  <c:v>1038.3295936331658</c:v>
                </c:pt>
                <c:pt idx="235">
                  <c:v>2596.2490609670131</c:v>
                </c:pt>
                <c:pt idx="236">
                  <c:v>484.46453202102163</c:v>
                </c:pt>
                <c:pt idx="237">
                  <c:v>4282.5641426074508</c:v>
                </c:pt>
                <c:pt idx="238">
                  <c:v>854.82737177510455</c:v>
                </c:pt>
                <c:pt idx="239">
                  <c:v>19.056101204540433</c:v>
                </c:pt>
                <c:pt idx="240">
                  <c:v>39.06654310931745</c:v>
                </c:pt>
                <c:pt idx="241">
                  <c:v>303.43423944714209</c:v>
                </c:pt>
                <c:pt idx="242">
                  <c:v>149.23296435825677</c:v>
                </c:pt>
                <c:pt idx="243">
                  <c:v>2283.8781445774052</c:v>
                </c:pt>
                <c:pt idx="244">
                  <c:v>3623.8087791562225</c:v>
                </c:pt>
                <c:pt idx="245">
                  <c:v>70.843521588503549</c:v>
                </c:pt>
                <c:pt idx="246">
                  <c:v>1335.2026924191753</c:v>
                </c:pt>
                <c:pt idx="247">
                  <c:v>3444.4919160235504</c:v>
                </c:pt>
                <c:pt idx="248">
                  <c:v>488.40842872897127</c:v>
                </c:pt>
                <c:pt idx="249">
                  <c:v>1191.5791473056099</c:v>
                </c:pt>
                <c:pt idx="250">
                  <c:v>3577.1202613149758</c:v>
                </c:pt>
                <c:pt idx="251">
                  <c:v>5.8977496363334082E-2</c:v>
                </c:pt>
                <c:pt idx="252">
                  <c:v>328.26579220942591</c:v>
                </c:pt>
                <c:pt idx="253">
                  <c:v>1334.6697655079097</c:v>
                </c:pt>
                <c:pt idx="254">
                  <c:v>422.8797150367617</c:v>
                </c:pt>
                <c:pt idx="255">
                  <c:v>448.70902753425537</c:v>
                </c:pt>
                <c:pt idx="256">
                  <c:v>2433.9221114748716</c:v>
                </c:pt>
                <c:pt idx="257">
                  <c:v>1861.7488835378172</c:v>
                </c:pt>
                <c:pt idx="258">
                  <c:v>9.0477189207522439</c:v>
                </c:pt>
                <c:pt idx="259">
                  <c:v>877.01422507636755</c:v>
                </c:pt>
                <c:pt idx="260">
                  <c:v>288.37432973730154</c:v>
                </c:pt>
                <c:pt idx="261">
                  <c:v>845.27811019011983</c:v>
                </c:pt>
                <c:pt idx="262">
                  <c:v>30.086232442477563</c:v>
                </c:pt>
                <c:pt idx="263">
                  <c:v>2081.7695826824515</c:v>
                </c:pt>
                <c:pt idx="264">
                  <c:v>1158.7628957010174</c:v>
                </c:pt>
                <c:pt idx="265">
                  <c:v>4242.3920903499202</c:v>
                </c:pt>
                <c:pt idx="266">
                  <c:v>1603.1016618440376</c:v>
                </c:pt>
                <c:pt idx="267">
                  <c:v>357.01969269083236</c:v>
                </c:pt>
                <c:pt idx="268">
                  <c:v>87.955167127170625</c:v>
                </c:pt>
                <c:pt idx="269">
                  <c:v>2630.1269342519417</c:v>
                </c:pt>
                <c:pt idx="270">
                  <c:v>438.81383311775693</c:v>
                </c:pt>
                <c:pt idx="271">
                  <c:v>102.08057118011803</c:v>
                </c:pt>
                <c:pt idx="272">
                  <c:v>287.3082190599763</c:v>
                </c:pt>
                <c:pt idx="273">
                  <c:v>1304.901561012671</c:v>
                </c:pt>
                <c:pt idx="274">
                  <c:v>27.231841911057732</c:v>
                </c:pt>
                <c:pt idx="275">
                  <c:v>1601.0205503108732</c:v>
                </c:pt>
                <c:pt idx="276">
                  <c:v>2530.28363454285</c:v>
                </c:pt>
                <c:pt idx="277">
                  <c:v>2296.4340599347311</c:v>
                </c:pt>
                <c:pt idx="278">
                  <c:v>3796.4156625398614</c:v>
                </c:pt>
                <c:pt idx="279">
                  <c:v>22.282054905103376</c:v>
                </c:pt>
                <c:pt idx="280">
                  <c:v>5701.258864060097</c:v>
                </c:pt>
                <c:pt idx="281">
                  <c:v>137.47702892802695</c:v>
                </c:pt>
                <c:pt idx="282">
                  <c:v>3523.6377681593394</c:v>
                </c:pt>
                <c:pt idx="283">
                  <c:v>3368.6538275206476</c:v>
                </c:pt>
                <c:pt idx="284">
                  <c:v>4487.709846172369</c:v>
                </c:pt>
                <c:pt idx="285">
                  <c:v>1913.2830724473149</c:v>
                </c:pt>
                <c:pt idx="286">
                  <c:v>2891.4080851236131</c:v>
                </c:pt>
                <c:pt idx="287">
                  <c:v>2113.0374512839489</c:v>
                </c:pt>
                <c:pt idx="288">
                  <c:v>79.54298817040295</c:v>
                </c:pt>
                <c:pt idx="289">
                  <c:v>828.76200070838536</c:v>
                </c:pt>
                <c:pt idx="290">
                  <c:v>1467.31393307803</c:v>
                </c:pt>
                <c:pt idx="291">
                  <c:v>917.68462115177965</c:v>
                </c:pt>
                <c:pt idx="292">
                  <c:v>146.08442343807693</c:v>
                </c:pt>
                <c:pt idx="293">
                  <c:v>285.23543727363398</c:v>
                </c:pt>
                <c:pt idx="294">
                  <c:v>483.04010515841816</c:v>
                </c:pt>
                <c:pt idx="295">
                  <c:v>879.47836070629626</c:v>
                </c:pt>
                <c:pt idx="296">
                  <c:v>1567.641944878631</c:v>
                </c:pt>
                <c:pt idx="297">
                  <c:v>2266.4161850402561</c:v>
                </c:pt>
                <c:pt idx="298">
                  <c:v>2836.3068224492426</c:v>
                </c:pt>
                <c:pt idx="299">
                  <c:v>50.095161144436027</c:v>
                </c:pt>
              </c:numCache>
            </c:numRef>
          </c:xVal>
          <c:yVal>
            <c:numRef>
              <c:f>'1 Segment'!$J$3:$J$302</c:f>
              <c:numCache>
                <c:formatCode>General</c:formatCode>
                <c:ptCount val="300"/>
                <c:pt idx="0">
                  <c:v>2.5146854756364077</c:v>
                </c:pt>
                <c:pt idx="1">
                  <c:v>4.7875792667566905</c:v>
                </c:pt>
                <c:pt idx="2">
                  <c:v>6.0348890382082718</c:v>
                </c:pt>
                <c:pt idx="3">
                  <c:v>9.4061074118423065</c:v>
                </c:pt>
                <c:pt idx="4">
                  <c:v>12.232571688594801</c:v>
                </c:pt>
                <c:pt idx="5">
                  <c:v>2.0181728391866338</c:v>
                </c:pt>
                <c:pt idx="6">
                  <c:v>13.834202171753162</c:v>
                </c:pt>
                <c:pt idx="7">
                  <c:v>5.924783993225315</c:v>
                </c:pt>
                <c:pt idx="8">
                  <c:v>2.3253976420656919</c:v>
                </c:pt>
                <c:pt idx="9">
                  <c:v>19.839976371124269</c:v>
                </c:pt>
                <c:pt idx="10">
                  <c:v>9.1134514983816892</c:v>
                </c:pt>
                <c:pt idx="11">
                  <c:v>13.835656777213224</c:v>
                </c:pt>
                <c:pt idx="12">
                  <c:v>15.416774753757496</c:v>
                </c:pt>
                <c:pt idx="13">
                  <c:v>3.9812079413330528</c:v>
                </c:pt>
                <c:pt idx="14">
                  <c:v>4.9386310865628413</c:v>
                </c:pt>
                <c:pt idx="15">
                  <c:v>5.1124461092255</c:v>
                </c:pt>
                <c:pt idx="16">
                  <c:v>3.7640377601349693</c:v>
                </c:pt>
                <c:pt idx="17">
                  <c:v>11.359944261379971</c:v>
                </c:pt>
                <c:pt idx="18">
                  <c:v>1.9569775946962706</c:v>
                </c:pt>
                <c:pt idx="19">
                  <c:v>2.4881870745256727</c:v>
                </c:pt>
                <c:pt idx="20">
                  <c:v>7.3467731646201067</c:v>
                </c:pt>
                <c:pt idx="21">
                  <c:v>9.9536914202377957</c:v>
                </c:pt>
                <c:pt idx="22">
                  <c:v>19.200896167939206</c:v>
                </c:pt>
                <c:pt idx="23">
                  <c:v>7.3607210044670106</c:v>
                </c:pt>
                <c:pt idx="24">
                  <c:v>14.062760168982292</c:v>
                </c:pt>
                <c:pt idx="25">
                  <c:v>18.469681547960796</c:v>
                </c:pt>
                <c:pt idx="26">
                  <c:v>5.1761981948298939</c:v>
                </c:pt>
                <c:pt idx="27">
                  <c:v>4.1162337325586558</c:v>
                </c:pt>
                <c:pt idx="28">
                  <c:v>18.94939311844831</c:v>
                </c:pt>
                <c:pt idx="29">
                  <c:v>16.113827708152908</c:v>
                </c:pt>
                <c:pt idx="30">
                  <c:v>1.8945622437835774</c:v>
                </c:pt>
                <c:pt idx="31">
                  <c:v>6.9584831290093954</c:v>
                </c:pt>
                <c:pt idx="32">
                  <c:v>11.402650139952552</c:v>
                </c:pt>
                <c:pt idx="33">
                  <c:v>12.506145455046259</c:v>
                </c:pt>
                <c:pt idx="34">
                  <c:v>15.271946595741252</c:v>
                </c:pt>
                <c:pt idx="35">
                  <c:v>4.6764590868962888</c:v>
                </c:pt>
                <c:pt idx="36">
                  <c:v>10.66727333304156</c:v>
                </c:pt>
                <c:pt idx="37">
                  <c:v>3.5420964365207541</c:v>
                </c:pt>
                <c:pt idx="38">
                  <c:v>7.2819664316051966</c:v>
                </c:pt>
                <c:pt idx="39">
                  <c:v>15.432710628686989</c:v>
                </c:pt>
                <c:pt idx="40">
                  <c:v>14.635126170733452</c:v>
                </c:pt>
                <c:pt idx="41">
                  <c:v>19.096926259997772</c:v>
                </c:pt>
                <c:pt idx="42">
                  <c:v>5.846125072235612</c:v>
                </c:pt>
                <c:pt idx="43">
                  <c:v>1.5759675627261485</c:v>
                </c:pt>
                <c:pt idx="44">
                  <c:v>9.4669758166118694</c:v>
                </c:pt>
                <c:pt idx="45">
                  <c:v>8.4353520536863922</c:v>
                </c:pt>
                <c:pt idx="46">
                  <c:v>19.089313075095905</c:v>
                </c:pt>
                <c:pt idx="47">
                  <c:v>9.9347094785107259</c:v>
                </c:pt>
                <c:pt idx="48">
                  <c:v>15.312253291218385</c:v>
                </c:pt>
                <c:pt idx="49">
                  <c:v>18.890283958084989</c:v>
                </c:pt>
                <c:pt idx="50">
                  <c:v>11.782437844750396</c:v>
                </c:pt>
                <c:pt idx="51">
                  <c:v>13.612798656112677</c:v>
                </c:pt>
                <c:pt idx="52">
                  <c:v>13.86374277928908</c:v>
                </c:pt>
                <c:pt idx="53">
                  <c:v>5.1314086374778416</c:v>
                </c:pt>
                <c:pt idx="54">
                  <c:v>12.051895515187461</c:v>
                </c:pt>
                <c:pt idx="55">
                  <c:v>1.6609436057462257</c:v>
                </c:pt>
                <c:pt idx="56">
                  <c:v>6.7903737536008943</c:v>
                </c:pt>
                <c:pt idx="57">
                  <c:v>14.166211745220275</c:v>
                </c:pt>
                <c:pt idx="58">
                  <c:v>7.2807580134516048</c:v>
                </c:pt>
                <c:pt idx="59">
                  <c:v>8.8501269302669456</c:v>
                </c:pt>
                <c:pt idx="60">
                  <c:v>8.5238944210030105</c:v>
                </c:pt>
                <c:pt idx="61">
                  <c:v>1.1424667626715834</c:v>
                </c:pt>
                <c:pt idx="62">
                  <c:v>13.722065747462926</c:v>
                </c:pt>
                <c:pt idx="63">
                  <c:v>8.8593168673563252</c:v>
                </c:pt>
                <c:pt idx="64">
                  <c:v>7.789555473338746</c:v>
                </c:pt>
                <c:pt idx="65">
                  <c:v>13.819489284465492</c:v>
                </c:pt>
                <c:pt idx="66">
                  <c:v>15.387802088282609</c:v>
                </c:pt>
                <c:pt idx="67">
                  <c:v>11.924722411680152</c:v>
                </c:pt>
                <c:pt idx="68">
                  <c:v>19.088899015088753</c:v>
                </c:pt>
                <c:pt idx="69">
                  <c:v>3.3768979380077662</c:v>
                </c:pt>
                <c:pt idx="70">
                  <c:v>18.836552549693529</c:v>
                </c:pt>
                <c:pt idx="71">
                  <c:v>10.586887917667291</c:v>
                </c:pt>
                <c:pt idx="72">
                  <c:v>5.2326591785992385</c:v>
                </c:pt>
                <c:pt idx="73">
                  <c:v>6.6299379102335472</c:v>
                </c:pt>
                <c:pt idx="74">
                  <c:v>9.2755519727331599</c:v>
                </c:pt>
                <c:pt idx="75">
                  <c:v>10.572077667838659</c:v>
                </c:pt>
                <c:pt idx="76">
                  <c:v>10.619619223622193</c:v>
                </c:pt>
                <c:pt idx="77">
                  <c:v>18.80323027836647</c:v>
                </c:pt>
                <c:pt idx="78">
                  <c:v>15.465636471869358</c:v>
                </c:pt>
                <c:pt idx="79">
                  <c:v>5.4196167677955254</c:v>
                </c:pt>
                <c:pt idx="80">
                  <c:v>11.406693685758805</c:v>
                </c:pt>
                <c:pt idx="81">
                  <c:v>6.7413563982560119</c:v>
                </c:pt>
                <c:pt idx="82">
                  <c:v>18.023599072439644</c:v>
                </c:pt>
                <c:pt idx="83">
                  <c:v>2.4235175400204763</c:v>
                </c:pt>
                <c:pt idx="84">
                  <c:v>4.0959113700510725</c:v>
                </c:pt>
                <c:pt idx="85">
                  <c:v>12.973966270416431</c:v>
                </c:pt>
                <c:pt idx="86">
                  <c:v>18.942811759111247</c:v>
                </c:pt>
                <c:pt idx="87">
                  <c:v>17.284866871751415</c:v>
                </c:pt>
                <c:pt idx="88">
                  <c:v>5.3185423132427747</c:v>
                </c:pt>
                <c:pt idx="89">
                  <c:v>3.6727997843088795</c:v>
                </c:pt>
                <c:pt idx="90">
                  <c:v>10.576253308910292</c:v>
                </c:pt>
                <c:pt idx="91">
                  <c:v>8.6414049978121739</c:v>
                </c:pt>
                <c:pt idx="92">
                  <c:v>14.259869158710686</c:v>
                </c:pt>
                <c:pt idx="93">
                  <c:v>1.465119281604166</c:v>
                </c:pt>
                <c:pt idx="94">
                  <c:v>11.455626466893262</c:v>
                </c:pt>
                <c:pt idx="95">
                  <c:v>9.3288330366884775</c:v>
                </c:pt>
                <c:pt idx="96">
                  <c:v>2.7707715121545138</c:v>
                </c:pt>
                <c:pt idx="97">
                  <c:v>7.3140345713490182</c:v>
                </c:pt>
                <c:pt idx="98">
                  <c:v>5.6842576922533539</c:v>
                </c:pt>
                <c:pt idx="99">
                  <c:v>19.523350294740272</c:v>
                </c:pt>
                <c:pt idx="100">
                  <c:v>16.88723427622908</c:v>
                </c:pt>
                <c:pt idx="101">
                  <c:v>13.799316783719012</c:v>
                </c:pt>
                <c:pt idx="102">
                  <c:v>4.6303437975963142</c:v>
                </c:pt>
                <c:pt idx="103">
                  <c:v>17.515678787807573</c:v>
                </c:pt>
                <c:pt idx="104">
                  <c:v>14.153192794892639</c:v>
                </c:pt>
                <c:pt idx="105">
                  <c:v>18.755714131480008</c:v>
                </c:pt>
                <c:pt idx="106">
                  <c:v>4.0373105874957034</c:v>
                </c:pt>
                <c:pt idx="107">
                  <c:v>13.51362065814504</c:v>
                </c:pt>
                <c:pt idx="108">
                  <c:v>15.711255093592005</c:v>
                </c:pt>
                <c:pt idx="109">
                  <c:v>16.167684173917049</c:v>
                </c:pt>
                <c:pt idx="110">
                  <c:v>8.1532114455232083</c:v>
                </c:pt>
                <c:pt idx="111">
                  <c:v>7.5847943869277721</c:v>
                </c:pt>
                <c:pt idx="112">
                  <c:v>12.967365281635269</c:v>
                </c:pt>
                <c:pt idx="113">
                  <c:v>8.85922408903809</c:v>
                </c:pt>
                <c:pt idx="114">
                  <c:v>7.7608469439187928</c:v>
                </c:pt>
                <c:pt idx="115">
                  <c:v>17.678620425327807</c:v>
                </c:pt>
                <c:pt idx="116">
                  <c:v>3.1525211991388127</c:v>
                </c:pt>
                <c:pt idx="117">
                  <c:v>2.8823954459501975</c:v>
                </c:pt>
                <c:pt idx="118">
                  <c:v>19.385042617438636</c:v>
                </c:pt>
                <c:pt idx="119">
                  <c:v>8.1854899805364347</c:v>
                </c:pt>
                <c:pt idx="120">
                  <c:v>7.8087610851686042</c:v>
                </c:pt>
                <c:pt idx="121">
                  <c:v>3.3858239908065273</c:v>
                </c:pt>
                <c:pt idx="122">
                  <c:v>8.6853274676151955</c:v>
                </c:pt>
                <c:pt idx="123">
                  <c:v>4.2117858146749656</c:v>
                </c:pt>
                <c:pt idx="124">
                  <c:v>8.8793538260571729</c:v>
                </c:pt>
                <c:pt idx="125">
                  <c:v>10.77582429935082</c:v>
                </c:pt>
                <c:pt idx="126">
                  <c:v>4.6070685726176794</c:v>
                </c:pt>
                <c:pt idx="127">
                  <c:v>1.5473227180113347</c:v>
                </c:pt>
                <c:pt idx="128">
                  <c:v>15.956967839930455</c:v>
                </c:pt>
                <c:pt idx="129">
                  <c:v>8.4162812482892857</c:v>
                </c:pt>
                <c:pt idx="130">
                  <c:v>5.2797721595549874</c:v>
                </c:pt>
                <c:pt idx="131">
                  <c:v>1.35438776632576</c:v>
                </c:pt>
                <c:pt idx="132">
                  <c:v>5.9026872541999591</c:v>
                </c:pt>
                <c:pt idx="133">
                  <c:v>16.936459394204807</c:v>
                </c:pt>
                <c:pt idx="134">
                  <c:v>7.5559244258158147</c:v>
                </c:pt>
                <c:pt idx="135">
                  <c:v>15.14197578671819</c:v>
                </c:pt>
                <c:pt idx="136">
                  <c:v>2.2852671209996775</c:v>
                </c:pt>
                <c:pt idx="137">
                  <c:v>12.332122097458864</c:v>
                </c:pt>
                <c:pt idx="138">
                  <c:v>7.2687369529194497</c:v>
                </c:pt>
                <c:pt idx="139">
                  <c:v>11.849291304524954</c:v>
                </c:pt>
                <c:pt idx="140">
                  <c:v>17.075385045533864</c:v>
                </c:pt>
                <c:pt idx="141">
                  <c:v>18.563011982104868</c:v>
                </c:pt>
                <c:pt idx="142">
                  <c:v>19.529859070562587</c:v>
                </c:pt>
                <c:pt idx="143">
                  <c:v>19.239558166282521</c:v>
                </c:pt>
                <c:pt idx="144">
                  <c:v>13.915590655716651</c:v>
                </c:pt>
                <c:pt idx="145">
                  <c:v>18.500760103373974</c:v>
                </c:pt>
                <c:pt idx="146">
                  <c:v>9.4876110615018412</c:v>
                </c:pt>
                <c:pt idx="147">
                  <c:v>16.088387612182256</c:v>
                </c:pt>
                <c:pt idx="148">
                  <c:v>11.145352809519313</c:v>
                </c:pt>
                <c:pt idx="149">
                  <c:v>12.064354746372333</c:v>
                </c:pt>
                <c:pt idx="150">
                  <c:v>18.982507393142836</c:v>
                </c:pt>
                <c:pt idx="151">
                  <c:v>12.274330058474408</c:v>
                </c:pt>
                <c:pt idx="152">
                  <c:v>10.037009410492075</c:v>
                </c:pt>
                <c:pt idx="153">
                  <c:v>16.608677721229469</c:v>
                </c:pt>
                <c:pt idx="154">
                  <c:v>13.913783553175756</c:v>
                </c:pt>
                <c:pt idx="155">
                  <c:v>6.8785411740913087</c:v>
                </c:pt>
                <c:pt idx="156">
                  <c:v>18.950896138133885</c:v>
                </c:pt>
                <c:pt idx="157">
                  <c:v>7.7771837891923923</c:v>
                </c:pt>
                <c:pt idx="158">
                  <c:v>2.5187377966943467</c:v>
                </c:pt>
                <c:pt idx="159">
                  <c:v>10.237652138969157</c:v>
                </c:pt>
                <c:pt idx="160">
                  <c:v>3.0945684496851227</c:v>
                </c:pt>
                <c:pt idx="161">
                  <c:v>3.7676298969469988</c:v>
                </c:pt>
                <c:pt idx="162">
                  <c:v>10.896469573538296</c:v>
                </c:pt>
                <c:pt idx="163">
                  <c:v>4.6269336013149758</c:v>
                </c:pt>
                <c:pt idx="164">
                  <c:v>8.7592933897327416</c:v>
                </c:pt>
                <c:pt idx="165">
                  <c:v>16.285797656417106</c:v>
                </c:pt>
                <c:pt idx="166">
                  <c:v>9.0593822277788192</c:v>
                </c:pt>
                <c:pt idx="167">
                  <c:v>16.379426722272189</c:v>
                </c:pt>
                <c:pt idx="168">
                  <c:v>18.299070505111434</c:v>
                </c:pt>
                <c:pt idx="169">
                  <c:v>18.650278991306752</c:v>
                </c:pt>
                <c:pt idx="170">
                  <c:v>9.9391817339055741</c:v>
                </c:pt>
                <c:pt idx="171">
                  <c:v>8.3628863893936138</c:v>
                </c:pt>
                <c:pt idx="172">
                  <c:v>18.28791184159428</c:v>
                </c:pt>
                <c:pt idx="173">
                  <c:v>10.491343271641664</c:v>
                </c:pt>
                <c:pt idx="174">
                  <c:v>15.10013025902667</c:v>
                </c:pt>
                <c:pt idx="175">
                  <c:v>7.2608011467385891</c:v>
                </c:pt>
                <c:pt idx="176">
                  <c:v>13.625741975822304</c:v>
                </c:pt>
                <c:pt idx="177">
                  <c:v>7.3580949665239155</c:v>
                </c:pt>
                <c:pt idx="178">
                  <c:v>3.77056000820793</c:v>
                </c:pt>
                <c:pt idx="179">
                  <c:v>15.55072472364072</c:v>
                </c:pt>
                <c:pt idx="180">
                  <c:v>9.2806198511861755</c:v>
                </c:pt>
                <c:pt idx="181">
                  <c:v>9.1125858219198399</c:v>
                </c:pt>
                <c:pt idx="182">
                  <c:v>18.636777486570828</c:v>
                </c:pt>
                <c:pt idx="183">
                  <c:v>8.6398523020950115</c:v>
                </c:pt>
                <c:pt idx="184">
                  <c:v>18.399867506389253</c:v>
                </c:pt>
                <c:pt idx="185">
                  <c:v>13.197790986306602</c:v>
                </c:pt>
                <c:pt idx="186">
                  <c:v>17.715663205134838</c:v>
                </c:pt>
                <c:pt idx="187">
                  <c:v>19.333744246910236</c:v>
                </c:pt>
                <c:pt idx="188">
                  <c:v>5.9144375155623212</c:v>
                </c:pt>
                <c:pt idx="189">
                  <c:v>5.8274199811965453</c:v>
                </c:pt>
                <c:pt idx="190">
                  <c:v>18.734307333625051</c:v>
                </c:pt>
                <c:pt idx="191">
                  <c:v>9.2063953332042114</c:v>
                </c:pt>
                <c:pt idx="192">
                  <c:v>11.635467004629227</c:v>
                </c:pt>
                <c:pt idx="193">
                  <c:v>7.317042768954658</c:v>
                </c:pt>
                <c:pt idx="194">
                  <c:v>17.853190583002814</c:v>
                </c:pt>
                <c:pt idx="195">
                  <c:v>15.647774530957088</c:v>
                </c:pt>
                <c:pt idx="196">
                  <c:v>15.13665844685905</c:v>
                </c:pt>
                <c:pt idx="197">
                  <c:v>17.920218418171185</c:v>
                </c:pt>
                <c:pt idx="198">
                  <c:v>11.009206295759592</c:v>
                </c:pt>
                <c:pt idx="199">
                  <c:v>11.233138854238574</c:v>
                </c:pt>
                <c:pt idx="200">
                  <c:v>11.135087697276832</c:v>
                </c:pt>
                <c:pt idx="201">
                  <c:v>12.084900715042529</c:v>
                </c:pt>
                <c:pt idx="202">
                  <c:v>16.185357994972023</c:v>
                </c:pt>
                <c:pt idx="203">
                  <c:v>9.0245647009054988</c:v>
                </c:pt>
                <c:pt idx="204">
                  <c:v>9.3148084439199934</c:v>
                </c:pt>
                <c:pt idx="205">
                  <c:v>12.952426928753468</c:v>
                </c:pt>
                <c:pt idx="206">
                  <c:v>19.834801358679329</c:v>
                </c:pt>
                <c:pt idx="207">
                  <c:v>10.579899397524978</c:v>
                </c:pt>
                <c:pt idx="208">
                  <c:v>6.7609698016426885</c:v>
                </c:pt>
                <c:pt idx="209">
                  <c:v>2.1303966359050932</c:v>
                </c:pt>
                <c:pt idx="210">
                  <c:v>6.7348268528670996</c:v>
                </c:pt>
                <c:pt idx="211">
                  <c:v>7.3735120908861251</c:v>
                </c:pt>
                <c:pt idx="212">
                  <c:v>11.99176624767448</c:v>
                </c:pt>
                <c:pt idx="213">
                  <c:v>12.628491599173858</c:v>
                </c:pt>
                <c:pt idx="214">
                  <c:v>10.576811194757132</c:v>
                </c:pt>
                <c:pt idx="215">
                  <c:v>10.674134068467275</c:v>
                </c:pt>
                <c:pt idx="216">
                  <c:v>9.5031390375468536</c:v>
                </c:pt>
                <c:pt idx="217">
                  <c:v>4.1249786733884921</c:v>
                </c:pt>
                <c:pt idx="218">
                  <c:v>3.2122127228440762</c:v>
                </c:pt>
                <c:pt idx="219">
                  <c:v>8.5791154648131176</c:v>
                </c:pt>
                <c:pt idx="220">
                  <c:v>17.81182654205541</c:v>
                </c:pt>
                <c:pt idx="221">
                  <c:v>7.8778363065776356</c:v>
                </c:pt>
                <c:pt idx="222">
                  <c:v>10.45961164371098</c:v>
                </c:pt>
                <c:pt idx="223">
                  <c:v>1.1453236303016787</c:v>
                </c:pt>
                <c:pt idx="224">
                  <c:v>5.8351791283337962</c:v>
                </c:pt>
                <c:pt idx="225">
                  <c:v>4.7315847851717763</c:v>
                </c:pt>
                <c:pt idx="226">
                  <c:v>12.062517183754045</c:v>
                </c:pt>
                <c:pt idx="227">
                  <c:v>6.402794942436171</c:v>
                </c:pt>
                <c:pt idx="228">
                  <c:v>4.3570610330522594</c:v>
                </c:pt>
                <c:pt idx="229">
                  <c:v>16.265753416664111</c:v>
                </c:pt>
                <c:pt idx="230">
                  <c:v>11.162270510846019</c:v>
                </c:pt>
                <c:pt idx="231">
                  <c:v>4.5929713847450717</c:v>
                </c:pt>
                <c:pt idx="232">
                  <c:v>10.558100921135946</c:v>
                </c:pt>
                <c:pt idx="233">
                  <c:v>2.7952329788370678</c:v>
                </c:pt>
                <c:pt idx="234">
                  <c:v>11.995720048006064</c:v>
                </c:pt>
                <c:pt idx="235">
                  <c:v>15.880238285682976</c:v>
                </c:pt>
                <c:pt idx="236">
                  <c:v>9.1592573005196449</c:v>
                </c:pt>
                <c:pt idx="237">
                  <c:v>18.781001223876412</c:v>
                </c:pt>
                <c:pt idx="238">
                  <c:v>10.24711492838267</c:v>
                </c:pt>
                <c:pt idx="239">
                  <c:v>3.4319793202356483</c:v>
                </c:pt>
                <c:pt idx="240">
                  <c:v>4.2898301732841357</c:v>
                </c:pt>
                <c:pt idx="241">
                  <c:v>7.3513259178949486</c:v>
                </c:pt>
                <c:pt idx="242">
                  <c:v>6.5590775434372226</c:v>
                </c:pt>
                <c:pt idx="243">
                  <c:v>15.582758353554716</c:v>
                </c:pt>
                <c:pt idx="244">
                  <c:v>18.590073952858035</c:v>
                </c:pt>
                <c:pt idx="245">
                  <c:v>5.2403992190759716</c:v>
                </c:pt>
                <c:pt idx="246">
                  <c:v>12.832494671902397</c:v>
                </c:pt>
                <c:pt idx="247">
                  <c:v>18.95040240550027</c:v>
                </c:pt>
                <c:pt idx="248">
                  <c:v>9.1948540406817134</c:v>
                </c:pt>
                <c:pt idx="249">
                  <c:v>12.390391444965628</c:v>
                </c:pt>
                <c:pt idx="250">
                  <c:v>18.735917811184656</c:v>
                </c:pt>
                <c:pt idx="251">
                  <c:v>1.2608490061576467</c:v>
                </c:pt>
                <c:pt idx="252">
                  <c:v>8.2843695163976285</c:v>
                </c:pt>
                <c:pt idx="253">
                  <c:v>12.366152189109481</c:v>
                </c:pt>
                <c:pt idx="254">
                  <c:v>9.4435675050831485</c:v>
                </c:pt>
                <c:pt idx="255">
                  <c:v>8.5599296629588348</c:v>
                </c:pt>
                <c:pt idx="256">
                  <c:v>16.806494230962635</c:v>
                </c:pt>
                <c:pt idx="257">
                  <c:v>14.559958564398494</c:v>
                </c:pt>
                <c:pt idx="258">
                  <c:v>2.8843419997344926</c:v>
                </c:pt>
                <c:pt idx="259">
                  <c:v>11.521971746546205</c:v>
                </c:pt>
                <c:pt idx="260">
                  <c:v>7.5541649440958576</c:v>
                </c:pt>
                <c:pt idx="261">
                  <c:v>10.141320597929417</c:v>
                </c:pt>
                <c:pt idx="262">
                  <c:v>3.8766385418459826</c:v>
                </c:pt>
                <c:pt idx="263">
                  <c:v>15.24741067773831</c:v>
                </c:pt>
                <c:pt idx="264">
                  <c:v>11.798715840736435</c:v>
                </c:pt>
                <c:pt idx="265">
                  <c:v>18.885725642738546</c:v>
                </c:pt>
                <c:pt idx="266">
                  <c:v>15.143295107516852</c:v>
                </c:pt>
                <c:pt idx="267">
                  <c:v>8.5517110693979639</c:v>
                </c:pt>
                <c:pt idx="268">
                  <c:v>5.4734641212093553</c:v>
                </c:pt>
                <c:pt idx="269">
                  <c:v>16.752581729346971</c:v>
                </c:pt>
                <c:pt idx="270">
                  <c:v>8.4727066901993879</c:v>
                </c:pt>
                <c:pt idx="271">
                  <c:v>5.7995613229436263</c:v>
                </c:pt>
                <c:pt idx="272">
                  <c:v>7.7903788512512877</c:v>
                </c:pt>
                <c:pt idx="273">
                  <c:v>13.689734253820758</c:v>
                </c:pt>
                <c:pt idx="274">
                  <c:v>3.7213470869646859</c:v>
                </c:pt>
                <c:pt idx="275">
                  <c:v>14.710532241461832</c:v>
                </c:pt>
                <c:pt idx="276">
                  <c:v>15.99937132309705</c:v>
                </c:pt>
                <c:pt idx="277">
                  <c:v>15.852557601105701</c:v>
                </c:pt>
                <c:pt idx="278">
                  <c:v>19.190197552927394</c:v>
                </c:pt>
                <c:pt idx="279">
                  <c:v>3.7884920813434237</c:v>
                </c:pt>
                <c:pt idx="280">
                  <c:v>19.893952316694609</c:v>
                </c:pt>
                <c:pt idx="281">
                  <c:v>6.448946843645774</c:v>
                </c:pt>
                <c:pt idx="282">
                  <c:v>18.852976706787331</c:v>
                </c:pt>
                <c:pt idx="283">
                  <c:v>18.57761251336796</c:v>
                </c:pt>
                <c:pt idx="284">
                  <c:v>18.725965794683219</c:v>
                </c:pt>
                <c:pt idx="285">
                  <c:v>14.559402587538221</c:v>
                </c:pt>
                <c:pt idx="286">
                  <c:v>16.864806257089281</c:v>
                </c:pt>
                <c:pt idx="287">
                  <c:v>15.94421140190857</c:v>
                </c:pt>
                <c:pt idx="288">
                  <c:v>5.3938961134299142</c:v>
                </c:pt>
                <c:pt idx="289">
                  <c:v>11.37427768803836</c:v>
                </c:pt>
                <c:pt idx="290">
                  <c:v>13.511790467296578</c:v>
                </c:pt>
                <c:pt idx="291">
                  <c:v>11.503963374651976</c:v>
                </c:pt>
                <c:pt idx="292">
                  <c:v>6.4029788907844214</c:v>
                </c:pt>
                <c:pt idx="293">
                  <c:v>7.9529591486768201</c:v>
                </c:pt>
                <c:pt idx="294">
                  <c:v>8.8565960681221849</c:v>
                </c:pt>
                <c:pt idx="295">
                  <c:v>11.720153654955121</c:v>
                </c:pt>
                <c:pt idx="296">
                  <c:v>13.987296618476714</c:v>
                </c:pt>
                <c:pt idx="297">
                  <c:v>17.166146326772264</c:v>
                </c:pt>
                <c:pt idx="298">
                  <c:v>16.642489469903733</c:v>
                </c:pt>
                <c:pt idx="299">
                  <c:v>4.5135087790745017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15-44F9-86DA-DA0A0E1D4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217152"/>
        <c:axId val="789211392"/>
      </c:scatterChart>
      <c:valAx>
        <c:axId val="78921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211392"/>
        <c:crosses val="autoZero"/>
        <c:crossBetween val="midCat"/>
      </c:valAx>
      <c:valAx>
        <c:axId val="7892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21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Stage-Discharge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 Segment'!$N$3:$N$302</c:f>
              <c:numCache>
                <c:formatCode>General</c:formatCode>
                <c:ptCount val="300"/>
                <c:pt idx="0">
                  <c:v>5.6624675097473265</c:v>
                </c:pt>
                <c:pt idx="1">
                  <c:v>57.226535898424515</c:v>
                </c:pt>
                <c:pt idx="2">
                  <c:v>124.29780609826862</c:v>
                </c:pt>
                <c:pt idx="3">
                  <c:v>536.13299844555934</c:v>
                </c:pt>
                <c:pt idx="4">
                  <c:v>4385.5164118103166</c:v>
                </c:pt>
                <c:pt idx="5">
                  <c:v>1.9635127241419799</c:v>
                </c:pt>
                <c:pt idx="6">
                  <c:v>9357.5666285810348</c:v>
                </c:pt>
                <c:pt idx="7">
                  <c:v>156.54803421412683</c:v>
                </c:pt>
                <c:pt idx="8">
                  <c:v>3.1869045344638582</c:v>
                </c:pt>
                <c:pt idx="9">
                  <c:v>50740.593767107726</c:v>
                </c:pt>
                <c:pt idx="10">
                  <c:v>467.28439649588813</c:v>
                </c:pt>
                <c:pt idx="11">
                  <c:v>11696.731667414579</c:v>
                </c:pt>
                <c:pt idx="12">
                  <c:v>15718.307807775775</c:v>
                </c:pt>
                <c:pt idx="13">
                  <c:v>28.188351083497615</c:v>
                </c:pt>
                <c:pt idx="14">
                  <c:v>63.157286775050721</c:v>
                </c:pt>
                <c:pt idx="15">
                  <c:v>78.667359197778126</c:v>
                </c:pt>
                <c:pt idx="16">
                  <c:v>25.482996099575715</c:v>
                </c:pt>
                <c:pt idx="17">
                  <c:v>2313.4995499213596</c:v>
                </c:pt>
                <c:pt idx="18">
                  <c:v>1.5843062398931438</c:v>
                </c:pt>
                <c:pt idx="19">
                  <c:v>5.0646959745763844</c:v>
                </c:pt>
                <c:pt idx="20">
                  <c:v>253.31962429454532</c:v>
                </c:pt>
                <c:pt idx="21">
                  <c:v>697.33326980736069</c:v>
                </c:pt>
                <c:pt idx="22">
                  <c:v>38621.18488899876</c:v>
                </c:pt>
                <c:pt idx="23">
                  <c:v>239.23141722822342</c:v>
                </c:pt>
                <c:pt idx="24">
                  <c:v>13117.893393868499</c:v>
                </c:pt>
                <c:pt idx="25">
                  <c:v>44407.407449666884</c:v>
                </c:pt>
                <c:pt idx="26">
                  <c:v>79.930966697439857</c:v>
                </c:pt>
                <c:pt idx="27">
                  <c:v>30.242732712716244</c:v>
                </c:pt>
                <c:pt idx="28">
                  <c:v>36092.55895037864</c:v>
                </c:pt>
                <c:pt idx="29">
                  <c:v>18680.484907528924</c:v>
                </c:pt>
                <c:pt idx="30">
                  <c:v>1.0960921621311659</c:v>
                </c:pt>
                <c:pt idx="31">
                  <c:v>191.33225634489855</c:v>
                </c:pt>
                <c:pt idx="32">
                  <c:v>1962.9833457728027</c:v>
                </c:pt>
                <c:pt idx="33">
                  <c:v>5096.2724732959432</c:v>
                </c:pt>
                <c:pt idx="34">
                  <c:v>19173.838011687869</c:v>
                </c:pt>
                <c:pt idx="35">
                  <c:v>51.990517518016567</c:v>
                </c:pt>
                <c:pt idx="36">
                  <c:v>1181.4850370967993</c:v>
                </c:pt>
                <c:pt idx="37">
                  <c:v>17.92362797137082</c:v>
                </c:pt>
                <c:pt idx="38">
                  <c:v>237.8703654344427</c:v>
                </c:pt>
                <c:pt idx="39">
                  <c:v>19077.618272168613</c:v>
                </c:pt>
                <c:pt idx="40">
                  <c:v>15439.060213781615</c:v>
                </c:pt>
                <c:pt idx="41">
                  <c:v>41739.952597976837</c:v>
                </c:pt>
                <c:pt idx="42">
                  <c:v>120.28520840597703</c:v>
                </c:pt>
                <c:pt idx="43">
                  <c:v>0.46253348710802711</c:v>
                </c:pt>
                <c:pt idx="44">
                  <c:v>549.18860903629889</c:v>
                </c:pt>
                <c:pt idx="45">
                  <c:v>389.48535563397132</c:v>
                </c:pt>
                <c:pt idx="46">
                  <c:v>39887.519566840434</c:v>
                </c:pt>
                <c:pt idx="47">
                  <c:v>506.89349316613783</c:v>
                </c:pt>
                <c:pt idx="48">
                  <c:v>18671.141452716351</c:v>
                </c:pt>
                <c:pt idx="49">
                  <c:v>48319.216904493493</c:v>
                </c:pt>
                <c:pt idx="50">
                  <c:v>3244.8163938820744</c:v>
                </c:pt>
                <c:pt idx="51">
                  <c:v>8102.8326452408992</c:v>
                </c:pt>
                <c:pt idx="52">
                  <c:v>10463.235737853336</c:v>
                </c:pt>
                <c:pt idx="53">
                  <c:v>69.971041265926161</c:v>
                </c:pt>
                <c:pt idx="54">
                  <c:v>4193.4683512450974</c:v>
                </c:pt>
                <c:pt idx="55">
                  <c:v>0.5357909461428445</c:v>
                </c:pt>
                <c:pt idx="56">
                  <c:v>172.05013195792628</c:v>
                </c:pt>
                <c:pt idx="57">
                  <c:v>11284.954984358672</c:v>
                </c:pt>
                <c:pt idx="58">
                  <c:v>205.44827114688877</c:v>
                </c:pt>
                <c:pt idx="59">
                  <c:v>381.82079647274975</c:v>
                </c:pt>
                <c:pt idx="60">
                  <c:v>374.45091085228262</c:v>
                </c:pt>
                <c:pt idx="61">
                  <c:v>9.7835123256772398E-3</c:v>
                </c:pt>
                <c:pt idx="62">
                  <c:v>10526.316860927875</c:v>
                </c:pt>
                <c:pt idx="63">
                  <c:v>515.86174301073993</c:v>
                </c:pt>
                <c:pt idx="64">
                  <c:v>350.51209622475409</c:v>
                </c:pt>
                <c:pt idx="65">
                  <c:v>9969.4805444431258</c:v>
                </c:pt>
                <c:pt idx="66">
                  <c:v>16776.055687201027</c:v>
                </c:pt>
                <c:pt idx="67">
                  <c:v>2276.5850560374288</c:v>
                </c:pt>
                <c:pt idx="68">
                  <c:v>41433.754555280982</c:v>
                </c:pt>
                <c:pt idx="69">
                  <c:v>17.373761233595815</c:v>
                </c:pt>
                <c:pt idx="70">
                  <c:v>42730.298481213074</c:v>
                </c:pt>
                <c:pt idx="71">
                  <c:v>1210.2657166579654</c:v>
                </c:pt>
                <c:pt idx="72">
                  <c:v>73.787187718676932</c:v>
                </c:pt>
                <c:pt idx="73">
                  <c:v>210.74721125023902</c:v>
                </c:pt>
                <c:pt idx="74">
                  <c:v>600.34757150002508</c:v>
                </c:pt>
                <c:pt idx="75">
                  <c:v>1273.723683978772</c:v>
                </c:pt>
                <c:pt idx="76">
                  <c:v>1168.5755268092917</c:v>
                </c:pt>
                <c:pt idx="77">
                  <c:v>34136.035197070138</c:v>
                </c:pt>
                <c:pt idx="78">
                  <c:v>16628.500497659541</c:v>
                </c:pt>
                <c:pt idx="79">
                  <c:v>93.777347998930068</c:v>
                </c:pt>
                <c:pt idx="80">
                  <c:v>3093.3092264313095</c:v>
                </c:pt>
                <c:pt idx="81">
                  <c:v>223.74885069722453</c:v>
                </c:pt>
                <c:pt idx="82">
                  <c:v>31062.176691358974</c:v>
                </c:pt>
                <c:pt idx="83">
                  <c:v>4.6053711871965861</c:v>
                </c:pt>
                <c:pt idx="84">
                  <c:v>33.827868530704343</c:v>
                </c:pt>
                <c:pt idx="85">
                  <c:v>5825.5680648151101</c:v>
                </c:pt>
                <c:pt idx="86">
                  <c:v>40087.14516538757</c:v>
                </c:pt>
                <c:pt idx="87">
                  <c:v>37105.224307523858</c:v>
                </c:pt>
                <c:pt idx="88">
                  <c:v>95.202205557597239</c:v>
                </c:pt>
                <c:pt idx="89">
                  <c:v>23.238789770027008</c:v>
                </c:pt>
                <c:pt idx="90">
                  <c:v>1209.6686258456687</c:v>
                </c:pt>
                <c:pt idx="91">
                  <c:v>364.57786751704361</c:v>
                </c:pt>
                <c:pt idx="92">
                  <c:v>11104.907806148674</c:v>
                </c:pt>
                <c:pt idx="93">
                  <c:v>0.21295404222902622</c:v>
                </c:pt>
                <c:pt idx="94">
                  <c:v>2285.5223972336935</c:v>
                </c:pt>
                <c:pt idx="95">
                  <c:v>437.30159977472351</c:v>
                </c:pt>
                <c:pt idx="96">
                  <c:v>9.9338617158348157</c:v>
                </c:pt>
                <c:pt idx="97">
                  <c:v>254.32255249124472</c:v>
                </c:pt>
                <c:pt idx="98">
                  <c:v>132.51425688669488</c:v>
                </c:pt>
                <c:pt idx="99">
                  <c:v>50042.764185529806</c:v>
                </c:pt>
                <c:pt idx="100">
                  <c:v>27500.804273447775</c:v>
                </c:pt>
                <c:pt idx="101">
                  <c:v>10015.41643933749</c:v>
                </c:pt>
                <c:pt idx="102">
                  <c:v>63.69223912756496</c:v>
                </c:pt>
                <c:pt idx="103">
                  <c:v>31063.66808725478</c:v>
                </c:pt>
                <c:pt idx="104">
                  <c:v>10975.772649437993</c:v>
                </c:pt>
                <c:pt idx="105">
                  <c:v>40285.467362838943</c:v>
                </c:pt>
                <c:pt idx="106">
                  <c:v>37.700435727825017</c:v>
                </c:pt>
                <c:pt idx="107">
                  <c:v>9262.5527528175662</c:v>
                </c:pt>
                <c:pt idx="108">
                  <c:v>17460.735076155266</c:v>
                </c:pt>
                <c:pt idx="109">
                  <c:v>19474.116901775906</c:v>
                </c:pt>
                <c:pt idx="110">
                  <c:v>338.15929351098407</c:v>
                </c:pt>
                <c:pt idx="111">
                  <c:v>283.25795044296149</c:v>
                </c:pt>
                <c:pt idx="112">
                  <c:v>7607.7657055445497</c:v>
                </c:pt>
                <c:pt idx="113">
                  <c:v>400.15004520896866</c:v>
                </c:pt>
                <c:pt idx="114">
                  <c:v>279.95956061488192</c:v>
                </c:pt>
                <c:pt idx="115">
                  <c:v>37446.550543991747</c:v>
                </c:pt>
                <c:pt idx="116">
                  <c:v>13.525852610477367</c:v>
                </c:pt>
                <c:pt idx="117">
                  <c:v>8.436618783902416</c:v>
                </c:pt>
                <c:pt idx="118">
                  <c:v>35632.014725858069</c:v>
                </c:pt>
                <c:pt idx="119">
                  <c:v>355.05146842694654</c:v>
                </c:pt>
                <c:pt idx="120">
                  <c:v>351.15792440872156</c:v>
                </c:pt>
                <c:pt idx="121">
                  <c:v>20.769854996404774</c:v>
                </c:pt>
                <c:pt idx="122">
                  <c:v>423.64866830004621</c:v>
                </c:pt>
                <c:pt idx="123">
                  <c:v>40.713115444000969</c:v>
                </c:pt>
                <c:pt idx="124">
                  <c:v>452.33182605315091</c:v>
                </c:pt>
                <c:pt idx="125">
                  <c:v>1318.2822934428875</c:v>
                </c:pt>
                <c:pt idx="126">
                  <c:v>51.429396827937971</c:v>
                </c:pt>
                <c:pt idx="127">
                  <c:v>0.32143431290193192</c:v>
                </c:pt>
                <c:pt idx="128">
                  <c:v>23537.172042303388</c:v>
                </c:pt>
                <c:pt idx="129">
                  <c:v>381.51973361066638</c:v>
                </c:pt>
                <c:pt idx="130">
                  <c:v>92.259198966345821</c:v>
                </c:pt>
                <c:pt idx="131">
                  <c:v>0.14333870727000894</c:v>
                </c:pt>
                <c:pt idx="132">
                  <c:v>136.525508653641</c:v>
                </c:pt>
                <c:pt idx="133">
                  <c:v>23741.666239516762</c:v>
                </c:pt>
                <c:pt idx="134">
                  <c:v>306.06333849439841</c:v>
                </c:pt>
                <c:pt idx="135">
                  <c:v>16553.4192001919</c:v>
                </c:pt>
                <c:pt idx="136">
                  <c:v>3.8267736975743194</c:v>
                </c:pt>
                <c:pt idx="137">
                  <c:v>4444.3066088616024</c:v>
                </c:pt>
                <c:pt idx="138">
                  <c:v>227.82252160973277</c:v>
                </c:pt>
                <c:pt idx="139">
                  <c:v>2891.9626781730299</c:v>
                </c:pt>
                <c:pt idx="140">
                  <c:v>34798.996546924842</c:v>
                </c:pt>
                <c:pt idx="141">
                  <c:v>37427.987707084707</c:v>
                </c:pt>
                <c:pt idx="142">
                  <c:v>46576.615800746906</c:v>
                </c:pt>
                <c:pt idx="143">
                  <c:v>43971.915322345303</c:v>
                </c:pt>
                <c:pt idx="144">
                  <c:v>9630.479689041993</c:v>
                </c:pt>
                <c:pt idx="145">
                  <c:v>36634.197343328291</c:v>
                </c:pt>
                <c:pt idx="146">
                  <c:v>545.07110358094576</c:v>
                </c:pt>
                <c:pt idx="147">
                  <c:v>19807.34142439692</c:v>
                </c:pt>
                <c:pt idx="148">
                  <c:v>1879.5344938913106</c:v>
                </c:pt>
                <c:pt idx="149">
                  <c:v>3053.2501385474902</c:v>
                </c:pt>
                <c:pt idx="150">
                  <c:v>38930.593068288254</c:v>
                </c:pt>
                <c:pt idx="151">
                  <c:v>4878.7991468945265</c:v>
                </c:pt>
                <c:pt idx="152">
                  <c:v>653.93942219204996</c:v>
                </c:pt>
                <c:pt idx="153">
                  <c:v>24115.105083713275</c:v>
                </c:pt>
                <c:pt idx="154">
                  <c:v>10348.759127509224</c:v>
                </c:pt>
                <c:pt idx="155">
                  <c:v>200.147991174601</c:v>
                </c:pt>
                <c:pt idx="156">
                  <c:v>32823.260129236609</c:v>
                </c:pt>
                <c:pt idx="157">
                  <c:v>337.02638780897922</c:v>
                </c:pt>
                <c:pt idx="158">
                  <c:v>4.9885974104186088</c:v>
                </c:pt>
                <c:pt idx="159">
                  <c:v>740.82292931128393</c:v>
                </c:pt>
                <c:pt idx="160">
                  <c:v>13.319356459220192</c:v>
                </c:pt>
                <c:pt idx="161">
                  <c:v>29.65096651843027</c:v>
                </c:pt>
                <c:pt idx="162">
                  <c:v>1394.8841554740138</c:v>
                </c:pt>
                <c:pt idx="163">
                  <c:v>54.990660932430366</c:v>
                </c:pt>
                <c:pt idx="164">
                  <c:v>446.7043497590156</c:v>
                </c:pt>
                <c:pt idx="165">
                  <c:v>19769.860176105816</c:v>
                </c:pt>
                <c:pt idx="166">
                  <c:v>408.36790025969958</c:v>
                </c:pt>
                <c:pt idx="167">
                  <c:v>22674.230887903399</c:v>
                </c:pt>
                <c:pt idx="168">
                  <c:v>31075.230237792155</c:v>
                </c:pt>
                <c:pt idx="169">
                  <c:v>29949.234599556483</c:v>
                </c:pt>
                <c:pt idx="170">
                  <c:v>633.06430576376113</c:v>
                </c:pt>
                <c:pt idx="171">
                  <c:v>350.19117932945852</c:v>
                </c:pt>
                <c:pt idx="172">
                  <c:v>34788.18813931202</c:v>
                </c:pt>
                <c:pt idx="173">
                  <c:v>1099.0891969922484</c:v>
                </c:pt>
                <c:pt idx="174">
                  <c:v>16402.774857384302</c:v>
                </c:pt>
                <c:pt idx="175">
                  <c:v>218.64360494170785</c:v>
                </c:pt>
                <c:pt idx="176">
                  <c:v>9086.2091539396915</c:v>
                </c:pt>
                <c:pt idx="177">
                  <c:v>236.82407771671947</c:v>
                </c:pt>
                <c:pt idx="178">
                  <c:v>26.866151723703968</c:v>
                </c:pt>
                <c:pt idx="179">
                  <c:v>17875.676128768166</c:v>
                </c:pt>
                <c:pt idx="180">
                  <c:v>538.10209882651122</c:v>
                </c:pt>
                <c:pt idx="181">
                  <c:v>425.32530193406245</c:v>
                </c:pt>
                <c:pt idx="182">
                  <c:v>44940.281284925637</c:v>
                </c:pt>
                <c:pt idx="183">
                  <c:v>383.97035628172483</c:v>
                </c:pt>
                <c:pt idx="184">
                  <c:v>30588.028802257275</c:v>
                </c:pt>
                <c:pt idx="185">
                  <c:v>7631.2327979403581</c:v>
                </c:pt>
                <c:pt idx="186">
                  <c:v>31016.906567529699</c:v>
                </c:pt>
                <c:pt idx="187">
                  <c:v>39929.042696332755</c:v>
                </c:pt>
                <c:pt idx="188">
                  <c:v>130.88676120367819</c:v>
                </c:pt>
                <c:pt idx="189">
                  <c:v>111.33977886540696</c:v>
                </c:pt>
                <c:pt idx="190">
                  <c:v>38404.084751388516</c:v>
                </c:pt>
                <c:pt idx="191">
                  <c:v>402.28577664028501</c:v>
                </c:pt>
                <c:pt idx="192">
                  <c:v>2773.9318104079348</c:v>
                </c:pt>
                <c:pt idx="193">
                  <c:v>223.94680294318675</c:v>
                </c:pt>
                <c:pt idx="194">
                  <c:v>31937.243475215564</c:v>
                </c:pt>
                <c:pt idx="195">
                  <c:v>19233.754133183338</c:v>
                </c:pt>
                <c:pt idx="196">
                  <c:v>19677.665380105842</c:v>
                </c:pt>
                <c:pt idx="197">
                  <c:v>28673.516958242872</c:v>
                </c:pt>
                <c:pt idx="198">
                  <c:v>2055.8277804852496</c:v>
                </c:pt>
                <c:pt idx="199">
                  <c:v>2193.4049023692373</c:v>
                </c:pt>
                <c:pt idx="200">
                  <c:v>1952.0558933156515</c:v>
                </c:pt>
                <c:pt idx="201">
                  <c:v>4078.4829201098992</c:v>
                </c:pt>
                <c:pt idx="202">
                  <c:v>21697.085440840488</c:v>
                </c:pt>
                <c:pt idx="203">
                  <c:v>544.06916222183054</c:v>
                </c:pt>
                <c:pt idx="204">
                  <c:v>462.23297229455812</c:v>
                </c:pt>
                <c:pt idx="205">
                  <c:v>7359.620729242507</c:v>
                </c:pt>
                <c:pt idx="206">
                  <c:v>44914.075309944907</c:v>
                </c:pt>
                <c:pt idx="207">
                  <c:v>893.38331951317264</c:v>
                </c:pt>
                <c:pt idx="208">
                  <c:v>200.19534981711465</c:v>
                </c:pt>
                <c:pt idx="209">
                  <c:v>1.9809624761320641</c:v>
                </c:pt>
                <c:pt idx="210">
                  <c:v>154.636034885751</c:v>
                </c:pt>
                <c:pt idx="211">
                  <c:v>253.59017290386078</c:v>
                </c:pt>
                <c:pt idx="212">
                  <c:v>4448.7502445299897</c:v>
                </c:pt>
                <c:pt idx="213">
                  <c:v>6559.6650860044647</c:v>
                </c:pt>
                <c:pt idx="214">
                  <c:v>950.41813159252035</c:v>
                </c:pt>
                <c:pt idx="215">
                  <c:v>1328.3138250126899</c:v>
                </c:pt>
                <c:pt idx="216">
                  <c:v>419.99199992130258</c:v>
                </c:pt>
                <c:pt idx="217">
                  <c:v>30.928986605599604</c:v>
                </c:pt>
                <c:pt idx="218">
                  <c:v>14.469365695941184</c:v>
                </c:pt>
                <c:pt idx="219">
                  <c:v>469.9568423429734</c:v>
                </c:pt>
                <c:pt idx="220">
                  <c:v>25531.593009201344</c:v>
                </c:pt>
                <c:pt idx="221">
                  <c:v>295.56358747861384</c:v>
                </c:pt>
                <c:pt idx="222">
                  <c:v>974.97583544047438</c:v>
                </c:pt>
                <c:pt idx="223">
                  <c:v>1.1647199232339559E-2</c:v>
                </c:pt>
                <c:pt idx="224">
                  <c:v>111.76946683896314</c:v>
                </c:pt>
                <c:pt idx="225">
                  <c:v>48.818399606772473</c:v>
                </c:pt>
                <c:pt idx="226">
                  <c:v>3437.9809812093131</c:v>
                </c:pt>
                <c:pt idx="227">
                  <c:v>156.26493522450511</c:v>
                </c:pt>
                <c:pt idx="228">
                  <c:v>43.634065421133592</c:v>
                </c:pt>
                <c:pt idx="229">
                  <c:v>21660.459696456615</c:v>
                </c:pt>
                <c:pt idx="230">
                  <c:v>2033.8102260631192</c:v>
                </c:pt>
                <c:pt idx="231">
                  <c:v>45.148282397871505</c:v>
                </c:pt>
                <c:pt idx="232">
                  <c:v>1202.3144921987396</c:v>
                </c:pt>
                <c:pt idx="233">
                  <c:v>6.9410968710865291</c:v>
                </c:pt>
                <c:pt idx="234">
                  <c:v>3813.6201407801286</c:v>
                </c:pt>
                <c:pt idx="235">
                  <c:v>21418.844394705597</c:v>
                </c:pt>
                <c:pt idx="236">
                  <c:v>484.46453202102163</c:v>
                </c:pt>
                <c:pt idx="237">
                  <c:v>42005.820727805061</c:v>
                </c:pt>
                <c:pt idx="238">
                  <c:v>965.59334369935505</c:v>
                </c:pt>
                <c:pt idx="239">
                  <c:v>19.056101204540433</c:v>
                </c:pt>
                <c:pt idx="240">
                  <c:v>39.06654310931745</c:v>
                </c:pt>
                <c:pt idx="241">
                  <c:v>303.43423944714209</c:v>
                </c:pt>
                <c:pt idx="242">
                  <c:v>149.23296435825677</c:v>
                </c:pt>
                <c:pt idx="243">
                  <c:v>18306.785437430233</c:v>
                </c:pt>
                <c:pt idx="244">
                  <c:v>35292.46600358007</c:v>
                </c:pt>
                <c:pt idx="245">
                  <c:v>70.843521588503549</c:v>
                </c:pt>
                <c:pt idx="246">
                  <c:v>6601.8723083228524</c:v>
                </c:pt>
                <c:pt idx="247">
                  <c:v>33987.213519848374</c:v>
                </c:pt>
                <c:pt idx="248">
                  <c:v>488.40842872897127</c:v>
                </c:pt>
                <c:pt idx="249">
                  <c:v>5110.198620849992</c:v>
                </c:pt>
                <c:pt idx="250">
                  <c:v>35028.932797989648</c:v>
                </c:pt>
                <c:pt idx="251">
                  <c:v>5.8977496363334082E-2</c:v>
                </c:pt>
                <c:pt idx="252">
                  <c:v>328.26579220942591</c:v>
                </c:pt>
                <c:pt idx="253">
                  <c:v>5674.364363765093</c:v>
                </c:pt>
                <c:pt idx="254">
                  <c:v>422.8797150367617</c:v>
                </c:pt>
                <c:pt idx="255">
                  <c:v>448.70902753425537</c:v>
                </c:pt>
                <c:pt idx="256">
                  <c:v>21611.660641582675</c:v>
                </c:pt>
                <c:pt idx="257">
                  <c:v>13170.99066398357</c:v>
                </c:pt>
                <c:pt idx="258">
                  <c:v>9.0477189207522439</c:v>
                </c:pt>
                <c:pt idx="259">
                  <c:v>2553.6418466645378</c:v>
                </c:pt>
                <c:pt idx="260">
                  <c:v>288.37432973730154</c:v>
                </c:pt>
                <c:pt idx="261">
                  <c:v>889.69575903264786</c:v>
                </c:pt>
                <c:pt idx="262">
                  <c:v>30.086232442477563</c:v>
                </c:pt>
                <c:pt idx="263">
                  <c:v>16094.250756603498</c:v>
                </c:pt>
                <c:pt idx="264">
                  <c:v>3891.0504830614373</c:v>
                </c:pt>
                <c:pt idx="265">
                  <c:v>41766.792760802964</c:v>
                </c:pt>
                <c:pt idx="266">
                  <c:v>12244.596932102397</c:v>
                </c:pt>
                <c:pt idx="267">
                  <c:v>357.01969269083236</c:v>
                </c:pt>
                <c:pt idx="268">
                  <c:v>87.955167127170625</c:v>
                </c:pt>
                <c:pt idx="269">
                  <c:v>23267.60871718534</c:v>
                </c:pt>
                <c:pt idx="270">
                  <c:v>438.81383311775693</c:v>
                </c:pt>
                <c:pt idx="271">
                  <c:v>102.08057118011803</c:v>
                </c:pt>
                <c:pt idx="272">
                  <c:v>287.3082190599763</c:v>
                </c:pt>
                <c:pt idx="273">
                  <c:v>7947.2675039108808</c:v>
                </c:pt>
                <c:pt idx="274">
                  <c:v>27.231841911057732</c:v>
                </c:pt>
                <c:pt idx="275">
                  <c:v>11570.724429584245</c:v>
                </c:pt>
                <c:pt idx="276">
                  <c:v>21100.386211632627</c:v>
                </c:pt>
                <c:pt idx="277">
                  <c:v>18896.938892598479</c:v>
                </c:pt>
                <c:pt idx="278">
                  <c:v>37756.059942922009</c:v>
                </c:pt>
                <c:pt idx="279">
                  <c:v>22.282054905103376</c:v>
                </c:pt>
                <c:pt idx="280">
                  <c:v>57834.432632185533</c:v>
                </c:pt>
                <c:pt idx="281">
                  <c:v>137.47702892802695</c:v>
                </c:pt>
                <c:pt idx="282">
                  <c:v>34650.74135242599</c:v>
                </c:pt>
                <c:pt idx="283">
                  <c:v>32791.765738024777</c:v>
                </c:pt>
                <c:pt idx="284">
                  <c:v>43929.828017463762</c:v>
                </c:pt>
                <c:pt idx="285">
                  <c:v>13534.474810742531</c:v>
                </c:pt>
                <c:pt idx="286">
                  <c:v>25774.913661050654</c:v>
                </c:pt>
                <c:pt idx="287">
                  <c:v>17534.298986998838</c:v>
                </c:pt>
                <c:pt idx="288">
                  <c:v>79.54298817040295</c:v>
                </c:pt>
                <c:pt idx="289">
                  <c:v>2216.1456701098946</c:v>
                </c:pt>
                <c:pt idx="290">
                  <c:v>8608.5581507925635</c:v>
                </c:pt>
                <c:pt idx="291">
                  <c:v>2645.4090399594807</c:v>
                </c:pt>
                <c:pt idx="292">
                  <c:v>146.08442343807693</c:v>
                </c:pt>
                <c:pt idx="293">
                  <c:v>285.23543727363398</c:v>
                </c:pt>
                <c:pt idx="294">
                  <c:v>483.04010515841816</c:v>
                </c:pt>
                <c:pt idx="295">
                  <c:v>2842.03899102174</c:v>
                </c:pt>
                <c:pt idx="296">
                  <c:v>10106.504220283041</c:v>
                </c:pt>
                <c:pt idx="297">
                  <c:v>20594.597683693064</c:v>
                </c:pt>
                <c:pt idx="298">
                  <c:v>24897.725499273245</c:v>
                </c:pt>
                <c:pt idx="299">
                  <c:v>50.095161144436027</c:v>
                </c:pt>
              </c:numCache>
            </c:numRef>
          </c:xVal>
          <c:yVal>
            <c:numRef>
              <c:f>'2 Segment'!$J$3:$J$302</c:f>
              <c:numCache>
                <c:formatCode>General</c:formatCode>
                <c:ptCount val="300"/>
                <c:pt idx="0">
                  <c:v>2.5146854756364077</c:v>
                </c:pt>
                <c:pt idx="1">
                  <c:v>4.7875792667566905</c:v>
                </c:pt>
                <c:pt idx="2">
                  <c:v>6.0348890382082718</c:v>
                </c:pt>
                <c:pt idx="3">
                  <c:v>9.4061074118423065</c:v>
                </c:pt>
                <c:pt idx="4">
                  <c:v>12.232571688594801</c:v>
                </c:pt>
                <c:pt idx="5">
                  <c:v>2.0181728391866338</c:v>
                </c:pt>
                <c:pt idx="6">
                  <c:v>13.834202171753162</c:v>
                </c:pt>
                <c:pt idx="7">
                  <c:v>5.924783993225315</c:v>
                </c:pt>
                <c:pt idx="8">
                  <c:v>2.3253976420656919</c:v>
                </c:pt>
                <c:pt idx="9">
                  <c:v>19.839976371124269</c:v>
                </c:pt>
                <c:pt idx="10">
                  <c:v>9.1134514983816892</c:v>
                </c:pt>
                <c:pt idx="11">
                  <c:v>13.835656777213224</c:v>
                </c:pt>
                <c:pt idx="12">
                  <c:v>15.416774753757496</c:v>
                </c:pt>
                <c:pt idx="13">
                  <c:v>3.9812079413330528</c:v>
                </c:pt>
                <c:pt idx="14">
                  <c:v>4.9386310865628413</c:v>
                </c:pt>
                <c:pt idx="15">
                  <c:v>5.1124461092255</c:v>
                </c:pt>
                <c:pt idx="16">
                  <c:v>3.7640377601349693</c:v>
                </c:pt>
                <c:pt idx="17">
                  <c:v>11.359944261379971</c:v>
                </c:pt>
                <c:pt idx="18">
                  <c:v>1.9569775946962706</c:v>
                </c:pt>
                <c:pt idx="19">
                  <c:v>2.4881870745256727</c:v>
                </c:pt>
                <c:pt idx="20">
                  <c:v>7.3467731646201067</c:v>
                </c:pt>
                <c:pt idx="21">
                  <c:v>9.9536914202377957</c:v>
                </c:pt>
                <c:pt idx="22">
                  <c:v>19.200896167939206</c:v>
                </c:pt>
                <c:pt idx="23">
                  <c:v>7.3607210044670106</c:v>
                </c:pt>
                <c:pt idx="24">
                  <c:v>14.062760168982292</c:v>
                </c:pt>
                <c:pt idx="25">
                  <c:v>18.469681547960796</c:v>
                </c:pt>
                <c:pt idx="26">
                  <c:v>5.1761981948298939</c:v>
                </c:pt>
                <c:pt idx="27">
                  <c:v>4.1162337325586558</c:v>
                </c:pt>
                <c:pt idx="28">
                  <c:v>18.94939311844831</c:v>
                </c:pt>
                <c:pt idx="29">
                  <c:v>16.113827708152908</c:v>
                </c:pt>
                <c:pt idx="30">
                  <c:v>1.8945622437835774</c:v>
                </c:pt>
                <c:pt idx="31">
                  <c:v>6.9584831290093954</c:v>
                </c:pt>
                <c:pt idx="32">
                  <c:v>11.402650139952552</c:v>
                </c:pt>
                <c:pt idx="33">
                  <c:v>12.506145455046259</c:v>
                </c:pt>
                <c:pt idx="34">
                  <c:v>15.271946595741252</c:v>
                </c:pt>
                <c:pt idx="35">
                  <c:v>4.6764590868962888</c:v>
                </c:pt>
                <c:pt idx="36">
                  <c:v>10.66727333304156</c:v>
                </c:pt>
                <c:pt idx="37">
                  <c:v>3.5420964365207541</c:v>
                </c:pt>
                <c:pt idx="38">
                  <c:v>7.2819664316051966</c:v>
                </c:pt>
                <c:pt idx="39">
                  <c:v>15.432710628686989</c:v>
                </c:pt>
                <c:pt idx="40">
                  <c:v>14.635126170733452</c:v>
                </c:pt>
                <c:pt idx="41">
                  <c:v>19.096926259997772</c:v>
                </c:pt>
                <c:pt idx="42">
                  <c:v>5.846125072235612</c:v>
                </c:pt>
                <c:pt idx="43">
                  <c:v>1.5759675627261485</c:v>
                </c:pt>
                <c:pt idx="44">
                  <c:v>9.4669758166118694</c:v>
                </c:pt>
                <c:pt idx="45">
                  <c:v>8.4353520536863922</c:v>
                </c:pt>
                <c:pt idx="46">
                  <c:v>19.089313075095905</c:v>
                </c:pt>
                <c:pt idx="47">
                  <c:v>9.9347094785107259</c:v>
                </c:pt>
                <c:pt idx="48">
                  <c:v>15.312253291218385</c:v>
                </c:pt>
                <c:pt idx="49">
                  <c:v>18.890283958084989</c:v>
                </c:pt>
                <c:pt idx="50">
                  <c:v>11.782437844750396</c:v>
                </c:pt>
                <c:pt idx="51">
                  <c:v>13.612798656112677</c:v>
                </c:pt>
                <c:pt idx="52">
                  <c:v>13.86374277928908</c:v>
                </c:pt>
                <c:pt idx="53">
                  <c:v>5.1314086374778416</c:v>
                </c:pt>
                <c:pt idx="54">
                  <c:v>12.051895515187461</c:v>
                </c:pt>
                <c:pt idx="55">
                  <c:v>1.6609436057462257</c:v>
                </c:pt>
                <c:pt idx="56">
                  <c:v>6.7903737536008943</c:v>
                </c:pt>
                <c:pt idx="57">
                  <c:v>14.166211745220275</c:v>
                </c:pt>
                <c:pt idx="58">
                  <c:v>7.2807580134516048</c:v>
                </c:pt>
                <c:pt idx="59">
                  <c:v>8.8501269302669456</c:v>
                </c:pt>
                <c:pt idx="60">
                  <c:v>8.5238944210030105</c:v>
                </c:pt>
                <c:pt idx="61">
                  <c:v>1.1424667626715834</c:v>
                </c:pt>
                <c:pt idx="62">
                  <c:v>13.722065747462926</c:v>
                </c:pt>
                <c:pt idx="63">
                  <c:v>8.8593168673563252</c:v>
                </c:pt>
                <c:pt idx="64">
                  <c:v>7.789555473338746</c:v>
                </c:pt>
                <c:pt idx="65">
                  <c:v>13.819489284465492</c:v>
                </c:pt>
                <c:pt idx="66">
                  <c:v>15.387802088282609</c:v>
                </c:pt>
                <c:pt idx="67">
                  <c:v>11.924722411680152</c:v>
                </c:pt>
                <c:pt idx="68">
                  <c:v>19.088899015088753</c:v>
                </c:pt>
                <c:pt idx="69">
                  <c:v>3.3768979380077662</c:v>
                </c:pt>
                <c:pt idx="70">
                  <c:v>18.836552549693529</c:v>
                </c:pt>
                <c:pt idx="71">
                  <c:v>10.586887917667291</c:v>
                </c:pt>
                <c:pt idx="72">
                  <c:v>5.2326591785992385</c:v>
                </c:pt>
                <c:pt idx="73">
                  <c:v>6.6299379102335472</c:v>
                </c:pt>
                <c:pt idx="74">
                  <c:v>9.2755519727331599</c:v>
                </c:pt>
                <c:pt idx="75">
                  <c:v>10.572077667838659</c:v>
                </c:pt>
                <c:pt idx="76">
                  <c:v>10.619619223622193</c:v>
                </c:pt>
                <c:pt idx="77">
                  <c:v>18.80323027836647</c:v>
                </c:pt>
                <c:pt idx="78">
                  <c:v>15.465636471869358</c:v>
                </c:pt>
                <c:pt idx="79">
                  <c:v>5.4196167677955254</c:v>
                </c:pt>
                <c:pt idx="80">
                  <c:v>11.406693685758805</c:v>
                </c:pt>
                <c:pt idx="81">
                  <c:v>6.7413563982560119</c:v>
                </c:pt>
                <c:pt idx="82">
                  <c:v>18.023599072439644</c:v>
                </c:pt>
                <c:pt idx="83">
                  <c:v>2.4235175400204763</c:v>
                </c:pt>
                <c:pt idx="84">
                  <c:v>4.0959113700510725</c:v>
                </c:pt>
                <c:pt idx="85">
                  <c:v>12.973966270416431</c:v>
                </c:pt>
                <c:pt idx="86">
                  <c:v>18.942811759111247</c:v>
                </c:pt>
                <c:pt idx="87">
                  <c:v>17.284866871751415</c:v>
                </c:pt>
                <c:pt idx="88">
                  <c:v>5.3185423132427747</c:v>
                </c:pt>
                <c:pt idx="89">
                  <c:v>3.6727997843088795</c:v>
                </c:pt>
                <c:pt idx="90">
                  <c:v>10.576253308910292</c:v>
                </c:pt>
                <c:pt idx="91">
                  <c:v>8.6414049978121739</c:v>
                </c:pt>
                <c:pt idx="92">
                  <c:v>14.259869158710686</c:v>
                </c:pt>
                <c:pt idx="93">
                  <c:v>1.465119281604166</c:v>
                </c:pt>
                <c:pt idx="94">
                  <c:v>11.455626466893262</c:v>
                </c:pt>
                <c:pt idx="95">
                  <c:v>9.3288330366884775</c:v>
                </c:pt>
                <c:pt idx="96">
                  <c:v>2.7707715121545138</c:v>
                </c:pt>
                <c:pt idx="97">
                  <c:v>7.3140345713490182</c:v>
                </c:pt>
                <c:pt idx="98">
                  <c:v>5.6842576922533539</c:v>
                </c:pt>
                <c:pt idx="99">
                  <c:v>19.523350294740272</c:v>
                </c:pt>
                <c:pt idx="100">
                  <c:v>16.88723427622908</c:v>
                </c:pt>
                <c:pt idx="101">
                  <c:v>13.799316783719012</c:v>
                </c:pt>
                <c:pt idx="102">
                  <c:v>4.6303437975963142</c:v>
                </c:pt>
                <c:pt idx="103">
                  <c:v>17.515678787807573</c:v>
                </c:pt>
                <c:pt idx="104">
                  <c:v>14.153192794892639</c:v>
                </c:pt>
                <c:pt idx="105">
                  <c:v>18.755714131480008</c:v>
                </c:pt>
                <c:pt idx="106">
                  <c:v>4.0373105874957034</c:v>
                </c:pt>
                <c:pt idx="107">
                  <c:v>13.51362065814504</c:v>
                </c:pt>
                <c:pt idx="108">
                  <c:v>15.711255093592005</c:v>
                </c:pt>
                <c:pt idx="109">
                  <c:v>16.167684173917049</c:v>
                </c:pt>
                <c:pt idx="110">
                  <c:v>8.1532114455232083</c:v>
                </c:pt>
                <c:pt idx="111">
                  <c:v>7.5847943869277721</c:v>
                </c:pt>
                <c:pt idx="112">
                  <c:v>12.967365281635269</c:v>
                </c:pt>
                <c:pt idx="113">
                  <c:v>8.85922408903809</c:v>
                </c:pt>
                <c:pt idx="114">
                  <c:v>7.7608469439187928</c:v>
                </c:pt>
                <c:pt idx="115">
                  <c:v>17.678620425327807</c:v>
                </c:pt>
                <c:pt idx="116">
                  <c:v>3.1525211991388127</c:v>
                </c:pt>
                <c:pt idx="117">
                  <c:v>2.8823954459501975</c:v>
                </c:pt>
                <c:pt idx="118">
                  <c:v>19.385042617438636</c:v>
                </c:pt>
                <c:pt idx="119">
                  <c:v>8.1854899805364347</c:v>
                </c:pt>
                <c:pt idx="120">
                  <c:v>7.8087610851686042</c:v>
                </c:pt>
                <c:pt idx="121">
                  <c:v>3.3858239908065273</c:v>
                </c:pt>
                <c:pt idx="122">
                  <c:v>8.6853274676151955</c:v>
                </c:pt>
                <c:pt idx="123">
                  <c:v>4.2117858146749656</c:v>
                </c:pt>
                <c:pt idx="124">
                  <c:v>8.8793538260571729</c:v>
                </c:pt>
                <c:pt idx="125">
                  <c:v>10.77582429935082</c:v>
                </c:pt>
                <c:pt idx="126">
                  <c:v>4.6070685726176794</c:v>
                </c:pt>
                <c:pt idx="127">
                  <c:v>1.5473227180113347</c:v>
                </c:pt>
                <c:pt idx="128">
                  <c:v>15.956967839930455</c:v>
                </c:pt>
                <c:pt idx="129">
                  <c:v>8.4162812482892857</c:v>
                </c:pt>
                <c:pt idx="130">
                  <c:v>5.2797721595549874</c:v>
                </c:pt>
                <c:pt idx="131">
                  <c:v>1.35438776632576</c:v>
                </c:pt>
                <c:pt idx="132">
                  <c:v>5.9026872541999591</c:v>
                </c:pt>
                <c:pt idx="133">
                  <c:v>16.936459394204807</c:v>
                </c:pt>
                <c:pt idx="134">
                  <c:v>7.5559244258158147</c:v>
                </c:pt>
                <c:pt idx="135">
                  <c:v>15.14197578671819</c:v>
                </c:pt>
                <c:pt idx="136">
                  <c:v>2.2852671209996775</c:v>
                </c:pt>
                <c:pt idx="137">
                  <c:v>12.332122097458864</c:v>
                </c:pt>
                <c:pt idx="138">
                  <c:v>7.2687369529194497</c:v>
                </c:pt>
                <c:pt idx="139">
                  <c:v>11.849291304524954</c:v>
                </c:pt>
                <c:pt idx="140">
                  <c:v>17.075385045533864</c:v>
                </c:pt>
                <c:pt idx="141">
                  <c:v>18.563011982104868</c:v>
                </c:pt>
                <c:pt idx="142">
                  <c:v>19.529859070562587</c:v>
                </c:pt>
                <c:pt idx="143">
                  <c:v>19.239558166282521</c:v>
                </c:pt>
                <c:pt idx="144">
                  <c:v>13.915590655716651</c:v>
                </c:pt>
                <c:pt idx="145">
                  <c:v>18.500760103373974</c:v>
                </c:pt>
                <c:pt idx="146">
                  <c:v>9.4876110615018412</c:v>
                </c:pt>
                <c:pt idx="147">
                  <c:v>16.088387612182256</c:v>
                </c:pt>
                <c:pt idx="148">
                  <c:v>11.145352809519313</c:v>
                </c:pt>
                <c:pt idx="149">
                  <c:v>12.064354746372333</c:v>
                </c:pt>
                <c:pt idx="150">
                  <c:v>18.982507393142836</c:v>
                </c:pt>
                <c:pt idx="151">
                  <c:v>12.274330058474408</c:v>
                </c:pt>
                <c:pt idx="152">
                  <c:v>10.037009410492075</c:v>
                </c:pt>
                <c:pt idx="153">
                  <c:v>16.608677721229469</c:v>
                </c:pt>
                <c:pt idx="154">
                  <c:v>13.913783553175756</c:v>
                </c:pt>
                <c:pt idx="155">
                  <c:v>6.8785411740913087</c:v>
                </c:pt>
                <c:pt idx="156">
                  <c:v>18.950896138133885</c:v>
                </c:pt>
                <c:pt idx="157">
                  <c:v>7.7771837891923923</c:v>
                </c:pt>
                <c:pt idx="158">
                  <c:v>2.5187377966943467</c:v>
                </c:pt>
                <c:pt idx="159">
                  <c:v>10.237652138969157</c:v>
                </c:pt>
                <c:pt idx="160">
                  <c:v>3.0945684496851227</c:v>
                </c:pt>
                <c:pt idx="161">
                  <c:v>3.7676298969469988</c:v>
                </c:pt>
                <c:pt idx="162">
                  <c:v>10.896469573538296</c:v>
                </c:pt>
                <c:pt idx="163">
                  <c:v>4.6269336013149758</c:v>
                </c:pt>
                <c:pt idx="164">
                  <c:v>8.7592933897327416</c:v>
                </c:pt>
                <c:pt idx="165">
                  <c:v>16.285797656417106</c:v>
                </c:pt>
                <c:pt idx="166">
                  <c:v>9.0593822277788192</c:v>
                </c:pt>
                <c:pt idx="167">
                  <c:v>16.379426722272189</c:v>
                </c:pt>
                <c:pt idx="168">
                  <c:v>18.299070505111434</c:v>
                </c:pt>
                <c:pt idx="169">
                  <c:v>18.650278991306752</c:v>
                </c:pt>
                <c:pt idx="170">
                  <c:v>9.9391817339055741</c:v>
                </c:pt>
                <c:pt idx="171">
                  <c:v>8.3628863893936138</c:v>
                </c:pt>
                <c:pt idx="172">
                  <c:v>18.28791184159428</c:v>
                </c:pt>
                <c:pt idx="173">
                  <c:v>10.491343271641664</c:v>
                </c:pt>
                <c:pt idx="174">
                  <c:v>15.10013025902667</c:v>
                </c:pt>
                <c:pt idx="175">
                  <c:v>7.2608011467385891</c:v>
                </c:pt>
                <c:pt idx="176">
                  <c:v>13.625741975822304</c:v>
                </c:pt>
                <c:pt idx="177">
                  <c:v>7.3580949665239155</c:v>
                </c:pt>
                <c:pt idx="178">
                  <c:v>3.77056000820793</c:v>
                </c:pt>
                <c:pt idx="179">
                  <c:v>15.55072472364072</c:v>
                </c:pt>
                <c:pt idx="180">
                  <c:v>9.2806198511861755</c:v>
                </c:pt>
                <c:pt idx="181">
                  <c:v>9.1125858219198399</c:v>
                </c:pt>
                <c:pt idx="182">
                  <c:v>18.636777486570828</c:v>
                </c:pt>
                <c:pt idx="183">
                  <c:v>8.6398523020950115</c:v>
                </c:pt>
                <c:pt idx="184">
                  <c:v>18.399867506389253</c:v>
                </c:pt>
                <c:pt idx="185">
                  <c:v>13.197790986306602</c:v>
                </c:pt>
                <c:pt idx="186">
                  <c:v>17.715663205134838</c:v>
                </c:pt>
                <c:pt idx="187">
                  <c:v>19.333744246910236</c:v>
                </c:pt>
                <c:pt idx="188">
                  <c:v>5.9144375155623212</c:v>
                </c:pt>
                <c:pt idx="189">
                  <c:v>5.8274199811965453</c:v>
                </c:pt>
                <c:pt idx="190">
                  <c:v>18.734307333625051</c:v>
                </c:pt>
                <c:pt idx="191">
                  <c:v>9.2063953332042114</c:v>
                </c:pt>
                <c:pt idx="192">
                  <c:v>11.635467004629227</c:v>
                </c:pt>
                <c:pt idx="193">
                  <c:v>7.317042768954658</c:v>
                </c:pt>
                <c:pt idx="194">
                  <c:v>17.853190583002814</c:v>
                </c:pt>
                <c:pt idx="195">
                  <c:v>15.647774530957088</c:v>
                </c:pt>
                <c:pt idx="196">
                  <c:v>15.13665844685905</c:v>
                </c:pt>
                <c:pt idx="197">
                  <c:v>17.920218418171185</c:v>
                </c:pt>
                <c:pt idx="198">
                  <c:v>11.009206295759592</c:v>
                </c:pt>
                <c:pt idx="199">
                  <c:v>11.233138854238574</c:v>
                </c:pt>
                <c:pt idx="200">
                  <c:v>11.135087697276832</c:v>
                </c:pt>
                <c:pt idx="201">
                  <c:v>12.084900715042529</c:v>
                </c:pt>
                <c:pt idx="202">
                  <c:v>16.185357994972023</c:v>
                </c:pt>
                <c:pt idx="203">
                  <c:v>9.0245647009054988</c:v>
                </c:pt>
                <c:pt idx="204">
                  <c:v>9.3148084439199934</c:v>
                </c:pt>
                <c:pt idx="205">
                  <c:v>12.952426928753468</c:v>
                </c:pt>
                <c:pt idx="206">
                  <c:v>19.834801358679329</c:v>
                </c:pt>
                <c:pt idx="207">
                  <c:v>10.579899397524978</c:v>
                </c:pt>
                <c:pt idx="208">
                  <c:v>6.7609698016426885</c:v>
                </c:pt>
                <c:pt idx="209">
                  <c:v>2.1303966359050932</c:v>
                </c:pt>
                <c:pt idx="210">
                  <c:v>6.7348268528670996</c:v>
                </c:pt>
                <c:pt idx="211">
                  <c:v>7.3735120908861251</c:v>
                </c:pt>
                <c:pt idx="212">
                  <c:v>11.99176624767448</c:v>
                </c:pt>
                <c:pt idx="213">
                  <c:v>12.628491599173858</c:v>
                </c:pt>
                <c:pt idx="214">
                  <c:v>10.576811194757132</c:v>
                </c:pt>
                <c:pt idx="215">
                  <c:v>10.674134068467275</c:v>
                </c:pt>
                <c:pt idx="216">
                  <c:v>9.5031390375468536</c:v>
                </c:pt>
                <c:pt idx="217">
                  <c:v>4.1249786733884921</c:v>
                </c:pt>
                <c:pt idx="218">
                  <c:v>3.2122127228440762</c:v>
                </c:pt>
                <c:pt idx="219">
                  <c:v>8.5791154648131176</c:v>
                </c:pt>
                <c:pt idx="220">
                  <c:v>17.81182654205541</c:v>
                </c:pt>
                <c:pt idx="221">
                  <c:v>7.8778363065776356</c:v>
                </c:pt>
                <c:pt idx="222">
                  <c:v>10.45961164371098</c:v>
                </c:pt>
                <c:pt idx="223">
                  <c:v>1.1453236303016787</c:v>
                </c:pt>
                <c:pt idx="224">
                  <c:v>5.8351791283337962</c:v>
                </c:pt>
                <c:pt idx="225">
                  <c:v>4.7315847851717763</c:v>
                </c:pt>
                <c:pt idx="226">
                  <c:v>12.062517183754045</c:v>
                </c:pt>
                <c:pt idx="227">
                  <c:v>6.402794942436171</c:v>
                </c:pt>
                <c:pt idx="228">
                  <c:v>4.3570610330522594</c:v>
                </c:pt>
                <c:pt idx="229">
                  <c:v>16.265753416664111</c:v>
                </c:pt>
                <c:pt idx="230">
                  <c:v>11.162270510846019</c:v>
                </c:pt>
                <c:pt idx="231">
                  <c:v>4.5929713847450717</c:v>
                </c:pt>
                <c:pt idx="232">
                  <c:v>10.558100921135946</c:v>
                </c:pt>
                <c:pt idx="233">
                  <c:v>2.7952329788370678</c:v>
                </c:pt>
                <c:pt idx="234">
                  <c:v>11.995720048006064</c:v>
                </c:pt>
                <c:pt idx="235">
                  <c:v>15.880238285682976</c:v>
                </c:pt>
                <c:pt idx="236">
                  <c:v>9.1592573005196449</c:v>
                </c:pt>
                <c:pt idx="237">
                  <c:v>18.781001223876412</c:v>
                </c:pt>
                <c:pt idx="238">
                  <c:v>10.24711492838267</c:v>
                </c:pt>
                <c:pt idx="239">
                  <c:v>3.4319793202356483</c:v>
                </c:pt>
                <c:pt idx="240">
                  <c:v>4.2898301732841357</c:v>
                </c:pt>
                <c:pt idx="241">
                  <c:v>7.3513259178949486</c:v>
                </c:pt>
                <c:pt idx="242">
                  <c:v>6.5590775434372226</c:v>
                </c:pt>
                <c:pt idx="243">
                  <c:v>15.582758353554716</c:v>
                </c:pt>
                <c:pt idx="244">
                  <c:v>18.590073952858035</c:v>
                </c:pt>
                <c:pt idx="245">
                  <c:v>5.2403992190759716</c:v>
                </c:pt>
                <c:pt idx="246">
                  <c:v>12.832494671902397</c:v>
                </c:pt>
                <c:pt idx="247">
                  <c:v>18.95040240550027</c:v>
                </c:pt>
                <c:pt idx="248">
                  <c:v>9.1948540406817134</c:v>
                </c:pt>
                <c:pt idx="249">
                  <c:v>12.390391444965628</c:v>
                </c:pt>
                <c:pt idx="250">
                  <c:v>18.735917811184656</c:v>
                </c:pt>
                <c:pt idx="251">
                  <c:v>1.2608490061576467</c:v>
                </c:pt>
                <c:pt idx="252">
                  <c:v>8.2843695163976285</c:v>
                </c:pt>
                <c:pt idx="253">
                  <c:v>12.366152189109481</c:v>
                </c:pt>
                <c:pt idx="254">
                  <c:v>9.4435675050831485</c:v>
                </c:pt>
                <c:pt idx="255">
                  <c:v>8.5599296629588348</c:v>
                </c:pt>
                <c:pt idx="256">
                  <c:v>16.806494230962635</c:v>
                </c:pt>
                <c:pt idx="257">
                  <c:v>14.559958564398494</c:v>
                </c:pt>
                <c:pt idx="258">
                  <c:v>2.8843419997344926</c:v>
                </c:pt>
                <c:pt idx="259">
                  <c:v>11.521971746546205</c:v>
                </c:pt>
                <c:pt idx="260">
                  <c:v>7.5541649440958576</c:v>
                </c:pt>
                <c:pt idx="261">
                  <c:v>10.141320597929417</c:v>
                </c:pt>
                <c:pt idx="262">
                  <c:v>3.8766385418459826</c:v>
                </c:pt>
                <c:pt idx="263">
                  <c:v>15.24741067773831</c:v>
                </c:pt>
                <c:pt idx="264">
                  <c:v>11.798715840736435</c:v>
                </c:pt>
                <c:pt idx="265">
                  <c:v>18.885725642738546</c:v>
                </c:pt>
                <c:pt idx="266">
                  <c:v>15.143295107516852</c:v>
                </c:pt>
                <c:pt idx="267">
                  <c:v>8.5517110693979639</c:v>
                </c:pt>
                <c:pt idx="268">
                  <c:v>5.4734641212093553</c:v>
                </c:pt>
                <c:pt idx="269">
                  <c:v>16.752581729346971</c:v>
                </c:pt>
                <c:pt idx="270">
                  <c:v>8.4727066901993879</c:v>
                </c:pt>
                <c:pt idx="271">
                  <c:v>5.7995613229436263</c:v>
                </c:pt>
                <c:pt idx="272">
                  <c:v>7.7903788512512877</c:v>
                </c:pt>
                <c:pt idx="273">
                  <c:v>13.689734253820758</c:v>
                </c:pt>
                <c:pt idx="274">
                  <c:v>3.7213470869646859</c:v>
                </c:pt>
                <c:pt idx="275">
                  <c:v>14.710532241461832</c:v>
                </c:pt>
                <c:pt idx="276">
                  <c:v>15.99937132309705</c:v>
                </c:pt>
                <c:pt idx="277">
                  <c:v>15.852557601105701</c:v>
                </c:pt>
                <c:pt idx="278">
                  <c:v>19.190197552927394</c:v>
                </c:pt>
                <c:pt idx="279">
                  <c:v>3.7884920813434237</c:v>
                </c:pt>
                <c:pt idx="280">
                  <c:v>19.893952316694609</c:v>
                </c:pt>
                <c:pt idx="281">
                  <c:v>6.448946843645774</c:v>
                </c:pt>
                <c:pt idx="282">
                  <c:v>18.852976706787331</c:v>
                </c:pt>
                <c:pt idx="283">
                  <c:v>18.57761251336796</c:v>
                </c:pt>
                <c:pt idx="284">
                  <c:v>18.725965794683219</c:v>
                </c:pt>
                <c:pt idx="285">
                  <c:v>14.559402587538221</c:v>
                </c:pt>
                <c:pt idx="286">
                  <c:v>16.864806257089281</c:v>
                </c:pt>
                <c:pt idx="287">
                  <c:v>15.94421140190857</c:v>
                </c:pt>
                <c:pt idx="288">
                  <c:v>5.3938961134299142</c:v>
                </c:pt>
                <c:pt idx="289">
                  <c:v>11.37427768803836</c:v>
                </c:pt>
                <c:pt idx="290">
                  <c:v>13.511790467296578</c:v>
                </c:pt>
                <c:pt idx="291">
                  <c:v>11.503963374651976</c:v>
                </c:pt>
                <c:pt idx="292">
                  <c:v>6.4029788907844214</c:v>
                </c:pt>
                <c:pt idx="293">
                  <c:v>7.9529591486768201</c:v>
                </c:pt>
                <c:pt idx="294">
                  <c:v>8.8565960681221849</c:v>
                </c:pt>
                <c:pt idx="295">
                  <c:v>11.720153654955121</c:v>
                </c:pt>
                <c:pt idx="296">
                  <c:v>13.987296618476714</c:v>
                </c:pt>
                <c:pt idx="297">
                  <c:v>17.166146326772264</c:v>
                </c:pt>
                <c:pt idx="298">
                  <c:v>16.642489469903733</c:v>
                </c:pt>
                <c:pt idx="299">
                  <c:v>4.5135087790745017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5C-4DE5-9C5B-95F3E0F3A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217152"/>
        <c:axId val="789211392"/>
      </c:scatterChart>
      <c:valAx>
        <c:axId val="78921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211392"/>
        <c:crosses val="autoZero"/>
        <c:crossBetween val="midCat"/>
      </c:valAx>
      <c:valAx>
        <c:axId val="7892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21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Stage-Discharge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 Segment'!$O$3:$O$302</c:f>
              <c:numCache>
                <c:formatCode>General</c:formatCode>
                <c:ptCount val="300"/>
                <c:pt idx="0">
                  <c:v>5.6624675097473265</c:v>
                </c:pt>
                <c:pt idx="1">
                  <c:v>57.226535898424515</c:v>
                </c:pt>
                <c:pt idx="2">
                  <c:v>124.29780609826862</c:v>
                </c:pt>
                <c:pt idx="3">
                  <c:v>536.13299844555934</c:v>
                </c:pt>
                <c:pt idx="4">
                  <c:v>4385.5164118103166</c:v>
                </c:pt>
                <c:pt idx="5">
                  <c:v>1.9635127241419799</c:v>
                </c:pt>
                <c:pt idx="6">
                  <c:v>9357.5666285810348</c:v>
                </c:pt>
                <c:pt idx="7">
                  <c:v>156.54803421412683</c:v>
                </c:pt>
                <c:pt idx="8">
                  <c:v>3.1869045344638582</c:v>
                </c:pt>
                <c:pt idx="9">
                  <c:v>115133.81870985356</c:v>
                </c:pt>
                <c:pt idx="10">
                  <c:v>467.28439649588813</c:v>
                </c:pt>
                <c:pt idx="11">
                  <c:v>11696.731667414579</c:v>
                </c:pt>
                <c:pt idx="12">
                  <c:v>16590.415640779069</c:v>
                </c:pt>
                <c:pt idx="13">
                  <c:v>28.188351083497615</c:v>
                </c:pt>
                <c:pt idx="14">
                  <c:v>63.157286775050721</c:v>
                </c:pt>
                <c:pt idx="15">
                  <c:v>78.667359197778126</c:v>
                </c:pt>
                <c:pt idx="16">
                  <c:v>25.482996099575715</c:v>
                </c:pt>
                <c:pt idx="17">
                  <c:v>2313.4995499213596</c:v>
                </c:pt>
                <c:pt idx="18">
                  <c:v>1.5843062398931438</c:v>
                </c:pt>
                <c:pt idx="19">
                  <c:v>5.0646959745763844</c:v>
                </c:pt>
                <c:pt idx="20">
                  <c:v>253.31962429454532</c:v>
                </c:pt>
                <c:pt idx="21">
                  <c:v>697.33326980736069</c:v>
                </c:pt>
                <c:pt idx="22">
                  <c:v>81816.487081866318</c:v>
                </c:pt>
                <c:pt idx="23">
                  <c:v>239.23141722822342</c:v>
                </c:pt>
                <c:pt idx="24">
                  <c:v>13117.893393868499</c:v>
                </c:pt>
                <c:pt idx="25">
                  <c:v>85726.147931528802</c:v>
                </c:pt>
                <c:pt idx="26">
                  <c:v>79.930966697439857</c:v>
                </c:pt>
                <c:pt idx="27">
                  <c:v>30.242732712716244</c:v>
                </c:pt>
                <c:pt idx="28">
                  <c:v>74194.923513870279</c:v>
                </c:pt>
                <c:pt idx="29">
                  <c:v>23093.886465255433</c:v>
                </c:pt>
                <c:pt idx="30">
                  <c:v>1.0960921621311659</c:v>
                </c:pt>
                <c:pt idx="31">
                  <c:v>191.33225634489855</c:v>
                </c:pt>
                <c:pt idx="32">
                  <c:v>1962.9833457728027</c:v>
                </c:pt>
                <c:pt idx="33">
                  <c:v>5096.2724732959432</c:v>
                </c:pt>
                <c:pt idx="34">
                  <c:v>19718.168157241504</c:v>
                </c:pt>
                <c:pt idx="35">
                  <c:v>51.990517518016567</c:v>
                </c:pt>
                <c:pt idx="36">
                  <c:v>1181.4850370967993</c:v>
                </c:pt>
                <c:pt idx="37">
                  <c:v>17.92362797137082</c:v>
                </c:pt>
                <c:pt idx="38">
                  <c:v>237.8703654344427</c:v>
                </c:pt>
                <c:pt idx="39">
                  <c:v>20199.328066099479</c:v>
                </c:pt>
                <c:pt idx="40">
                  <c:v>15439.060213781615</c:v>
                </c:pt>
                <c:pt idx="41">
                  <c:v>87350.7086870856</c:v>
                </c:pt>
                <c:pt idx="42">
                  <c:v>120.28520840597703</c:v>
                </c:pt>
                <c:pt idx="43">
                  <c:v>0.46253348710802711</c:v>
                </c:pt>
                <c:pt idx="44">
                  <c:v>549.18860903629889</c:v>
                </c:pt>
                <c:pt idx="45">
                  <c:v>389.48535563397132</c:v>
                </c:pt>
                <c:pt idx="46">
                  <c:v>83398.461313489926</c:v>
                </c:pt>
                <c:pt idx="47">
                  <c:v>506.89349316613783</c:v>
                </c:pt>
                <c:pt idx="48">
                  <c:v>19330.816222632246</c:v>
                </c:pt>
                <c:pt idx="49">
                  <c:v>98602.46751547647</c:v>
                </c:pt>
                <c:pt idx="50">
                  <c:v>3244.8163938820744</c:v>
                </c:pt>
                <c:pt idx="51">
                  <c:v>8102.8326452408992</c:v>
                </c:pt>
                <c:pt idx="52">
                  <c:v>10463.235737853336</c:v>
                </c:pt>
                <c:pt idx="53">
                  <c:v>69.971041265926161</c:v>
                </c:pt>
                <c:pt idx="54">
                  <c:v>4193.4683512450974</c:v>
                </c:pt>
                <c:pt idx="55">
                  <c:v>0.5357909461428445</c:v>
                </c:pt>
                <c:pt idx="56">
                  <c:v>172.05013195792628</c:v>
                </c:pt>
                <c:pt idx="57">
                  <c:v>11284.954984358672</c:v>
                </c:pt>
                <c:pt idx="58">
                  <c:v>205.44827114688877</c:v>
                </c:pt>
                <c:pt idx="59">
                  <c:v>381.82079647274975</c:v>
                </c:pt>
                <c:pt idx="60">
                  <c:v>374.45091085228262</c:v>
                </c:pt>
                <c:pt idx="61">
                  <c:v>9.7835123256772398E-3</c:v>
                </c:pt>
                <c:pt idx="62">
                  <c:v>10526.316860927875</c:v>
                </c:pt>
                <c:pt idx="63">
                  <c:v>515.86174301073993</c:v>
                </c:pt>
                <c:pt idx="64">
                  <c:v>350.51209622475409</c:v>
                </c:pt>
                <c:pt idx="65">
                  <c:v>9969.4805444431258</c:v>
                </c:pt>
                <c:pt idx="66">
                  <c:v>17608.373501656879</c:v>
                </c:pt>
                <c:pt idx="67">
                  <c:v>2276.5850560374288</c:v>
                </c:pt>
                <c:pt idx="68">
                  <c:v>86627.119945573562</c:v>
                </c:pt>
                <c:pt idx="69">
                  <c:v>17.373761233595815</c:v>
                </c:pt>
                <c:pt idx="70">
                  <c:v>86609.24822130047</c:v>
                </c:pt>
                <c:pt idx="71">
                  <c:v>1210.2657166579654</c:v>
                </c:pt>
                <c:pt idx="72">
                  <c:v>73.787187718676932</c:v>
                </c:pt>
                <c:pt idx="73">
                  <c:v>210.74721125023902</c:v>
                </c:pt>
                <c:pt idx="74">
                  <c:v>600.34757150002508</c:v>
                </c:pt>
                <c:pt idx="75">
                  <c:v>1273.723683978772</c:v>
                </c:pt>
                <c:pt idx="76">
                  <c:v>1168.5755268092917</c:v>
                </c:pt>
                <c:pt idx="77">
                  <c:v>68896.708447358134</c:v>
                </c:pt>
                <c:pt idx="78">
                  <c:v>17723.051897363857</c:v>
                </c:pt>
                <c:pt idx="79">
                  <c:v>93.777347998930068</c:v>
                </c:pt>
                <c:pt idx="80">
                  <c:v>3093.3092264313095</c:v>
                </c:pt>
                <c:pt idx="81">
                  <c:v>223.74885069722453</c:v>
                </c:pt>
                <c:pt idx="82">
                  <c:v>56145.761024642794</c:v>
                </c:pt>
                <c:pt idx="83">
                  <c:v>4.6053711871965861</c:v>
                </c:pt>
                <c:pt idx="84">
                  <c:v>33.827868530704343</c:v>
                </c:pt>
                <c:pt idx="85">
                  <c:v>5825.5680648151101</c:v>
                </c:pt>
                <c:pt idx="86">
                  <c:v>82339.633566457327</c:v>
                </c:pt>
                <c:pt idx="87">
                  <c:v>59056.797721307521</c:v>
                </c:pt>
                <c:pt idx="88">
                  <c:v>95.202205557597239</c:v>
                </c:pt>
                <c:pt idx="89">
                  <c:v>23.238789770027008</c:v>
                </c:pt>
                <c:pt idx="90">
                  <c:v>1209.6686258456687</c:v>
                </c:pt>
                <c:pt idx="91">
                  <c:v>364.57786751704361</c:v>
                </c:pt>
                <c:pt idx="92">
                  <c:v>11104.907806148674</c:v>
                </c:pt>
                <c:pt idx="93">
                  <c:v>0.21295404222902622</c:v>
                </c:pt>
                <c:pt idx="94">
                  <c:v>2285.5223972336935</c:v>
                </c:pt>
                <c:pt idx="95">
                  <c:v>437.30159977472351</c:v>
                </c:pt>
                <c:pt idx="96">
                  <c:v>9.9338617158348157</c:v>
                </c:pt>
                <c:pt idx="97">
                  <c:v>254.32255249124472</c:v>
                </c:pt>
                <c:pt idx="98">
                  <c:v>132.51425688669488</c:v>
                </c:pt>
                <c:pt idx="99">
                  <c:v>109893.81321023853</c:v>
                </c:pt>
                <c:pt idx="100">
                  <c:v>40445.148901181819</c:v>
                </c:pt>
                <c:pt idx="101">
                  <c:v>10015.41643933749</c:v>
                </c:pt>
                <c:pt idx="102">
                  <c:v>63.69223912756496</c:v>
                </c:pt>
                <c:pt idx="103">
                  <c:v>51582.069704986956</c:v>
                </c:pt>
                <c:pt idx="104">
                  <c:v>10975.772649437993</c:v>
                </c:pt>
                <c:pt idx="105">
                  <c:v>80812.594768339477</c:v>
                </c:pt>
                <c:pt idx="106">
                  <c:v>37.700435727825017</c:v>
                </c:pt>
                <c:pt idx="107">
                  <c:v>9262.5527528175662</c:v>
                </c:pt>
                <c:pt idx="108">
                  <c:v>19635.199022035322</c:v>
                </c:pt>
                <c:pt idx="109">
                  <c:v>24383.139093977228</c:v>
                </c:pt>
                <c:pt idx="110">
                  <c:v>338.15929351098407</c:v>
                </c:pt>
                <c:pt idx="111">
                  <c:v>283.25795044296149</c:v>
                </c:pt>
                <c:pt idx="112">
                  <c:v>7607.7657055445497</c:v>
                </c:pt>
                <c:pt idx="113">
                  <c:v>400.15004520896866</c:v>
                </c:pt>
                <c:pt idx="114">
                  <c:v>279.95956061488192</c:v>
                </c:pt>
                <c:pt idx="115">
                  <c:v>63975.110985406718</c:v>
                </c:pt>
                <c:pt idx="116">
                  <c:v>13.525852610477367</c:v>
                </c:pt>
                <c:pt idx="117">
                  <c:v>8.436618783902416</c:v>
                </c:pt>
                <c:pt idx="118">
                  <c:v>77076.460497905573</c:v>
                </c:pt>
                <c:pt idx="119">
                  <c:v>355.05146842694654</c:v>
                </c:pt>
                <c:pt idx="120">
                  <c:v>351.15792440872156</c:v>
                </c:pt>
                <c:pt idx="121">
                  <c:v>20.769854996404774</c:v>
                </c:pt>
                <c:pt idx="122">
                  <c:v>423.64866830004621</c:v>
                </c:pt>
                <c:pt idx="123">
                  <c:v>40.713115444000969</c:v>
                </c:pt>
                <c:pt idx="124">
                  <c:v>452.33182605315091</c:v>
                </c:pt>
                <c:pt idx="125">
                  <c:v>1318.2822934428875</c:v>
                </c:pt>
                <c:pt idx="126">
                  <c:v>51.429396827937971</c:v>
                </c:pt>
                <c:pt idx="127">
                  <c:v>0.32143431290193192</c:v>
                </c:pt>
                <c:pt idx="128">
                  <c:v>28035.941683242083</c:v>
                </c:pt>
                <c:pt idx="129">
                  <c:v>381.51973361066638</c:v>
                </c:pt>
                <c:pt idx="130">
                  <c:v>92.259198966345821</c:v>
                </c:pt>
                <c:pt idx="131">
                  <c:v>0.14333870727000894</c:v>
                </c:pt>
                <c:pt idx="132">
                  <c:v>136.525508653641</c:v>
                </c:pt>
                <c:pt idx="133">
                  <c:v>35274.404937987136</c:v>
                </c:pt>
                <c:pt idx="134">
                  <c:v>306.06333849439841</c:v>
                </c:pt>
                <c:pt idx="135">
                  <c:v>16718.531609993737</c:v>
                </c:pt>
                <c:pt idx="136">
                  <c:v>3.8267736975743194</c:v>
                </c:pt>
                <c:pt idx="137">
                  <c:v>4444.3066088616024</c:v>
                </c:pt>
                <c:pt idx="138">
                  <c:v>227.82252160973277</c:v>
                </c:pt>
                <c:pt idx="139">
                  <c:v>2891.9626781730299</c:v>
                </c:pt>
                <c:pt idx="140">
                  <c:v>53178.6651655065</c:v>
                </c:pt>
                <c:pt idx="141">
                  <c:v>73186.057920650215</c:v>
                </c:pt>
                <c:pt idx="142">
                  <c:v>102353.54158511378</c:v>
                </c:pt>
                <c:pt idx="143">
                  <c:v>93568.080793414294</c:v>
                </c:pt>
                <c:pt idx="144">
                  <c:v>9630.479689041993</c:v>
                </c:pt>
                <c:pt idx="145">
                  <c:v>71025.689580503516</c:v>
                </c:pt>
                <c:pt idx="146">
                  <c:v>545.07110358094576</c:v>
                </c:pt>
                <c:pt idx="147">
                  <c:v>24339.975312861265</c:v>
                </c:pt>
                <c:pt idx="148">
                  <c:v>1879.5344938913106</c:v>
                </c:pt>
                <c:pt idx="149">
                  <c:v>3053.2501385474902</c:v>
                </c:pt>
                <c:pt idx="150">
                  <c:v>80355.114934134501</c:v>
                </c:pt>
                <c:pt idx="151">
                  <c:v>4878.7991468945265</c:v>
                </c:pt>
                <c:pt idx="152">
                  <c:v>653.93942219204996</c:v>
                </c:pt>
                <c:pt idx="153">
                  <c:v>33406.307426226122</c:v>
                </c:pt>
                <c:pt idx="154">
                  <c:v>10348.759127509224</c:v>
                </c:pt>
                <c:pt idx="155">
                  <c:v>200.147991174601</c:v>
                </c:pt>
                <c:pt idx="156">
                  <c:v>67486.779263240343</c:v>
                </c:pt>
                <c:pt idx="157">
                  <c:v>337.02638780897922</c:v>
                </c:pt>
                <c:pt idx="158">
                  <c:v>4.9885974104186088</c:v>
                </c:pt>
                <c:pt idx="159">
                  <c:v>740.82292931128393</c:v>
                </c:pt>
                <c:pt idx="160">
                  <c:v>13.319356459220192</c:v>
                </c:pt>
                <c:pt idx="161">
                  <c:v>29.65096651843027</c:v>
                </c:pt>
                <c:pt idx="162">
                  <c:v>1394.8841554740138</c:v>
                </c:pt>
                <c:pt idx="163">
                  <c:v>54.990660932430366</c:v>
                </c:pt>
                <c:pt idx="164">
                  <c:v>446.7043497590156</c:v>
                </c:pt>
                <c:pt idx="165">
                  <c:v>25448.304267647047</c:v>
                </c:pt>
                <c:pt idx="166">
                  <c:v>408.36790025969958</c:v>
                </c:pt>
                <c:pt idx="167">
                  <c:v>29826.421236492217</c:v>
                </c:pt>
                <c:pt idx="168">
                  <c:v>58550.622219794299</c:v>
                </c:pt>
                <c:pt idx="169">
                  <c:v>59253.080614571176</c:v>
                </c:pt>
                <c:pt idx="170">
                  <c:v>633.06430576376113</c:v>
                </c:pt>
                <c:pt idx="171">
                  <c:v>350.19117932945852</c:v>
                </c:pt>
                <c:pt idx="172">
                  <c:v>65439.999403979193</c:v>
                </c:pt>
                <c:pt idx="173">
                  <c:v>1099.0891969922484</c:v>
                </c:pt>
                <c:pt idx="174">
                  <c:v>16495.277589265941</c:v>
                </c:pt>
                <c:pt idx="175">
                  <c:v>218.64360494170785</c:v>
                </c:pt>
                <c:pt idx="176">
                  <c:v>9086.2091539396915</c:v>
                </c:pt>
                <c:pt idx="177">
                  <c:v>236.82407771671947</c:v>
                </c:pt>
                <c:pt idx="178">
                  <c:v>26.866151723703968</c:v>
                </c:pt>
                <c:pt idx="179">
                  <c:v>19395.23849715506</c:v>
                </c:pt>
                <c:pt idx="180">
                  <c:v>538.10209882651122</c:v>
                </c:pt>
                <c:pt idx="181">
                  <c:v>425.32530193406245</c:v>
                </c:pt>
                <c:pt idx="182">
                  <c:v>88752.447630891067</c:v>
                </c:pt>
                <c:pt idx="183">
                  <c:v>383.97035628172483</c:v>
                </c:pt>
                <c:pt idx="184">
                  <c:v>58472.537170548356</c:v>
                </c:pt>
                <c:pt idx="185">
                  <c:v>7631.2327979403581</c:v>
                </c:pt>
                <c:pt idx="186">
                  <c:v>53325.359687655422</c:v>
                </c:pt>
                <c:pt idx="187">
                  <c:v>85878.617037037126</c:v>
                </c:pt>
                <c:pt idx="188">
                  <c:v>130.88676120367819</c:v>
                </c:pt>
                <c:pt idx="189">
                  <c:v>111.33977886540696</c:v>
                </c:pt>
                <c:pt idx="190">
                  <c:v>76824.83808664314</c:v>
                </c:pt>
                <c:pt idx="191">
                  <c:v>402.28577664028501</c:v>
                </c:pt>
                <c:pt idx="192">
                  <c:v>2773.9318104079348</c:v>
                </c:pt>
                <c:pt idx="193">
                  <c:v>223.94680294318675</c:v>
                </c:pt>
                <c:pt idx="194">
                  <c:v>56177.542178542048</c:v>
                </c:pt>
                <c:pt idx="195">
                  <c:v>21319.555374296935</c:v>
                </c:pt>
                <c:pt idx="196">
                  <c:v>19862.120109374337</c:v>
                </c:pt>
                <c:pt idx="197">
                  <c:v>50986.856142183002</c:v>
                </c:pt>
                <c:pt idx="198">
                  <c:v>2055.8277804852496</c:v>
                </c:pt>
                <c:pt idx="199">
                  <c:v>2193.4049023692373</c:v>
                </c:pt>
                <c:pt idx="200">
                  <c:v>1952.0558933156515</c:v>
                </c:pt>
                <c:pt idx="201">
                  <c:v>4078.4829201098992</c:v>
                </c:pt>
                <c:pt idx="202">
                  <c:v>27279.787128814001</c:v>
                </c:pt>
                <c:pt idx="203">
                  <c:v>544.06916222183054</c:v>
                </c:pt>
                <c:pt idx="204">
                  <c:v>462.23297229455812</c:v>
                </c:pt>
                <c:pt idx="205">
                  <c:v>7359.620729242507</c:v>
                </c:pt>
                <c:pt idx="206">
                  <c:v>101860.5021218342</c:v>
                </c:pt>
                <c:pt idx="207">
                  <c:v>893.38331951317264</c:v>
                </c:pt>
                <c:pt idx="208">
                  <c:v>200.19534981711465</c:v>
                </c:pt>
                <c:pt idx="209">
                  <c:v>1.9809624761320641</c:v>
                </c:pt>
                <c:pt idx="210">
                  <c:v>154.636034885751</c:v>
                </c:pt>
                <c:pt idx="211">
                  <c:v>253.59017290386078</c:v>
                </c:pt>
                <c:pt idx="212">
                  <c:v>4448.7502445299897</c:v>
                </c:pt>
                <c:pt idx="213">
                  <c:v>6559.6650860044647</c:v>
                </c:pt>
                <c:pt idx="214">
                  <c:v>950.41813159252035</c:v>
                </c:pt>
                <c:pt idx="215">
                  <c:v>1328.3138250126899</c:v>
                </c:pt>
                <c:pt idx="216">
                  <c:v>419.99199992130258</c:v>
                </c:pt>
                <c:pt idx="217">
                  <c:v>30.928986605599604</c:v>
                </c:pt>
                <c:pt idx="218">
                  <c:v>14.469365695941184</c:v>
                </c:pt>
                <c:pt idx="219">
                  <c:v>469.9568423429734</c:v>
                </c:pt>
                <c:pt idx="220">
                  <c:v>44606.070713096298</c:v>
                </c:pt>
                <c:pt idx="221">
                  <c:v>295.56358747861384</c:v>
                </c:pt>
                <c:pt idx="222">
                  <c:v>974.97583544047438</c:v>
                </c:pt>
                <c:pt idx="223">
                  <c:v>1.1647199232339559E-2</c:v>
                </c:pt>
                <c:pt idx="224">
                  <c:v>111.76946683896314</c:v>
                </c:pt>
                <c:pt idx="225">
                  <c:v>48.818399606772473</c:v>
                </c:pt>
                <c:pt idx="226">
                  <c:v>3437.9809812093131</c:v>
                </c:pt>
                <c:pt idx="227">
                  <c:v>156.26493522450511</c:v>
                </c:pt>
                <c:pt idx="228">
                  <c:v>43.634065421133592</c:v>
                </c:pt>
                <c:pt idx="229">
                  <c:v>27751.917692994844</c:v>
                </c:pt>
                <c:pt idx="230">
                  <c:v>2033.8102260631192</c:v>
                </c:pt>
                <c:pt idx="231">
                  <c:v>45.148282397871505</c:v>
                </c:pt>
                <c:pt idx="232">
                  <c:v>1202.3144921987396</c:v>
                </c:pt>
                <c:pt idx="233">
                  <c:v>6.9410968710865291</c:v>
                </c:pt>
                <c:pt idx="234">
                  <c:v>3813.6201407801286</c:v>
                </c:pt>
                <c:pt idx="235">
                  <c:v>25053.855585528778</c:v>
                </c:pt>
                <c:pt idx="236">
                  <c:v>484.46453202102163</c:v>
                </c:pt>
                <c:pt idx="237">
                  <c:v>84538.953168383421</c:v>
                </c:pt>
                <c:pt idx="238">
                  <c:v>965.59334369935505</c:v>
                </c:pt>
                <c:pt idx="239">
                  <c:v>19.056101204540433</c:v>
                </c:pt>
                <c:pt idx="240">
                  <c:v>39.06654310931745</c:v>
                </c:pt>
                <c:pt idx="241">
                  <c:v>303.43423944714209</c:v>
                </c:pt>
                <c:pt idx="242">
                  <c:v>149.23296435825677</c:v>
                </c:pt>
                <c:pt idx="243">
                  <c:v>20001.524849100235</c:v>
                </c:pt>
                <c:pt idx="244">
                  <c:v>69263.662149115029</c:v>
                </c:pt>
                <c:pt idx="245">
                  <c:v>70.843521588503549</c:v>
                </c:pt>
                <c:pt idx="246">
                  <c:v>6601.8723083228524</c:v>
                </c:pt>
                <c:pt idx="247">
                  <c:v>69875.69119135353</c:v>
                </c:pt>
                <c:pt idx="248">
                  <c:v>488.40842872897127</c:v>
                </c:pt>
                <c:pt idx="249">
                  <c:v>5110.198620849992</c:v>
                </c:pt>
                <c:pt idx="250">
                  <c:v>70087.751504208587</c:v>
                </c:pt>
                <c:pt idx="251">
                  <c:v>5.8977496363334082E-2</c:v>
                </c:pt>
                <c:pt idx="252">
                  <c:v>328.26579220942591</c:v>
                </c:pt>
                <c:pt idx="253">
                  <c:v>5674.364363765093</c:v>
                </c:pt>
                <c:pt idx="254">
                  <c:v>422.8797150367617</c:v>
                </c:pt>
                <c:pt idx="255">
                  <c:v>448.70902753425537</c:v>
                </c:pt>
                <c:pt idx="256">
                  <c:v>31249.187801879325</c:v>
                </c:pt>
                <c:pt idx="257">
                  <c:v>13170.99066398357</c:v>
                </c:pt>
                <c:pt idx="258">
                  <c:v>9.0477189207522439</c:v>
                </c:pt>
                <c:pt idx="259">
                  <c:v>2553.6418466645378</c:v>
                </c:pt>
                <c:pt idx="260">
                  <c:v>288.37432973730154</c:v>
                </c:pt>
                <c:pt idx="261">
                  <c:v>889.69575903264786</c:v>
                </c:pt>
                <c:pt idx="262">
                  <c:v>30.086232442477563</c:v>
                </c:pt>
                <c:pt idx="263">
                  <c:v>16487.301789269233</c:v>
                </c:pt>
                <c:pt idx="264">
                  <c:v>3891.0504830614373</c:v>
                </c:pt>
                <c:pt idx="265">
                  <c:v>85182.655190200952</c:v>
                </c:pt>
                <c:pt idx="266">
                  <c:v>12368.581938550336</c:v>
                </c:pt>
                <c:pt idx="267">
                  <c:v>357.01969269083236</c:v>
                </c:pt>
                <c:pt idx="268">
                  <c:v>87.955167127170625</c:v>
                </c:pt>
                <c:pt idx="269">
                  <c:v>33258.819692543839</c:v>
                </c:pt>
                <c:pt idx="270">
                  <c:v>438.81383311775693</c:v>
                </c:pt>
                <c:pt idx="271">
                  <c:v>102.08057118011803</c:v>
                </c:pt>
                <c:pt idx="272">
                  <c:v>287.3082190599763</c:v>
                </c:pt>
                <c:pt idx="273">
                  <c:v>7947.2675039108808</c:v>
                </c:pt>
                <c:pt idx="274">
                  <c:v>27.231841911057732</c:v>
                </c:pt>
                <c:pt idx="275">
                  <c:v>11570.724429584245</c:v>
                </c:pt>
                <c:pt idx="276">
                  <c:v>25387.400736177104</c:v>
                </c:pt>
                <c:pt idx="277">
                  <c:v>21960.284240985529</c:v>
                </c:pt>
                <c:pt idx="278">
                  <c:v>79884.521387444038</c:v>
                </c:pt>
                <c:pt idx="279">
                  <c:v>22.282054905103376</c:v>
                </c:pt>
                <c:pt idx="280">
                  <c:v>131933.31881414927</c:v>
                </c:pt>
                <c:pt idx="281">
                  <c:v>137.47702892802695</c:v>
                </c:pt>
                <c:pt idx="282">
                  <c:v>70379.082467544853</c:v>
                </c:pt>
                <c:pt idx="283">
                  <c:v>64247.573116983403</c:v>
                </c:pt>
                <c:pt idx="284">
                  <c:v>87783.294083122993</c:v>
                </c:pt>
                <c:pt idx="285">
                  <c:v>13534.474810742531</c:v>
                </c:pt>
                <c:pt idx="286">
                  <c:v>37729.78692761514</c:v>
                </c:pt>
                <c:pt idx="287">
                  <c:v>20822.675143111839</c:v>
                </c:pt>
                <c:pt idx="288">
                  <c:v>79.54298817040295</c:v>
                </c:pt>
                <c:pt idx="289">
                  <c:v>2216.1456701098946</c:v>
                </c:pt>
                <c:pt idx="290">
                  <c:v>8608.5581507925635</c:v>
                </c:pt>
                <c:pt idx="291">
                  <c:v>2645.4090399594807</c:v>
                </c:pt>
                <c:pt idx="292">
                  <c:v>146.08442343807693</c:v>
                </c:pt>
                <c:pt idx="293">
                  <c:v>285.23543727363398</c:v>
                </c:pt>
                <c:pt idx="294">
                  <c:v>483.04010515841816</c:v>
                </c:pt>
                <c:pt idx="295">
                  <c:v>2842.03899102174</c:v>
                </c:pt>
                <c:pt idx="296">
                  <c:v>10106.504220283041</c:v>
                </c:pt>
                <c:pt idx="297">
                  <c:v>32039.820790111404</c:v>
                </c:pt>
                <c:pt idx="298">
                  <c:v>34748.345267848774</c:v>
                </c:pt>
                <c:pt idx="299">
                  <c:v>50.095161144436027</c:v>
                </c:pt>
              </c:numCache>
            </c:numRef>
          </c:xVal>
          <c:yVal>
            <c:numRef>
              <c:f>'3 Segment'!$J$3:$J$302</c:f>
              <c:numCache>
                <c:formatCode>General</c:formatCode>
                <c:ptCount val="300"/>
                <c:pt idx="0">
                  <c:v>2.5146854756364077</c:v>
                </c:pt>
                <c:pt idx="1">
                  <c:v>4.7875792667566905</c:v>
                </c:pt>
                <c:pt idx="2">
                  <c:v>6.0348890382082718</c:v>
                </c:pt>
                <c:pt idx="3">
                  <c:v>9.4061074118423065</c:v>
                </c:pt>
                <c:pt idx="4">
                  <c:v>12.232571688594801</c:v>
                </c:pt>
                <c:pt idx="5">
                  <c:v>2.0181728391866338</c:v>
                </c:pt>
                <c:pt idx="6">
                  <c:v>13.834202171753162</c:v>
                </c:pt>
                <c:pt idx="7">
                  <c:v>5.924783993225315</c:v>
                </c:pt>
                <c:pt idx="8">
                  <c:v>2.3253976420656919</c:v>
                </c:pt>
                <c:pt idx="9">
                  <c:v>19.839976371124269</c:v>
                </c:pt>
                <c:pt idx="10">
                  <c:v>9.1134514983816892</c:v>
                </c:pt>
                <c:pt idx="11">
                  <c:v>13.835656777213224</c:v>
                </c:pt>
                <c:pt idx="12">
                  <c:v>15.416774753757496</c:v>
                </c:pt>
                <c:pt idx="13">
                  <c:v>3.9812079413330528</c:v>
                </c:pt>
                <c:pt idx="14">
                  <c:v>4.9386310865628413</c:v>
                </c:pt>
                <c:pt idx="15">
                  <c:v>5.1124461092255</c:v>
                </c:pt>
                <c:pt idx="16">
                  <c:v>3.7640377601349693</c:v>
                </c:pt>
                <c:pt idx="17">
                  <c:v>11.359944261379971</c:v>
                </c:pt>
                <c:pt idx="18">
                  <c:v>1.9569775946962706</c:v>
                </c:pt>
                <c:pt idx="19">
                  <c:v>2.4881870745256727</c:v>
                </c:pt>
                <c:pt idx="20">
                  <c:v>7.3467731646201067</c:v>
                </c:pt>
                <c:pt idx="21">
                  <c:v>9.9536914202377957</c:v>
                </c:pt>
                <c:pt idx="22">
                  <c:v>19.200896167939206</c:v>
                </c:pt>
                <c:pt idx="23">
                  <c:v>7.3607210044670106</c:v>
                </c:pt>
                <c:pt idx="24">
                  <c:v>14.062760168982292</c:v>
                </c:pt>
                <c:pt idx="25">
                  <c:v>18.469681547960796</c:v>
                </c:pt>
                <c:pt idx="26">
                  <c:v>5.1761981948298939</c:v>
                </c:pt>
                <c:pt idx="27">
                  <c:v>4.1162337325586558</c:v>
                </c:pt>
                <c:pt idx="28">
                  <c:v>18.94939311844831</c:v>
                </c:pt>
                <c:pt idx="29">
                  <c:v>16.113827708152908</c:v>
                </c:pt>
                <c:pt idx="30">
                  <c:v>1.8945622437835774</c:v>
                </c:pt>
                <c:pt idx="31">
                  <c:v>6.9584831290093954</c:v>
                </c:pt>
                <c:pt idx="32">
                  <c:v>11.402650139952552</c:v>
                </c:pt>
                <c:pt idx="33">
                  <c:v>12.506145455046259</c:v>
                </c:pt>
                <c:pt idx="34">
                  <c:v>15.271946595741252</c:v>
                </c:pt>
                <c:pt idx="35">
                  <c:v>4.6764590868962888</c:v>
                </c:pt>
                <c:pt idx="36">
                  <c:v>10.66727333304156</c:v>
                </c:pt>
                <c:pt idx="37">
                  <c:v>3.5420964365207541</c:v>
                </c:pt>
                <c:pt idx="38">
                  <c:v>7.2819664316051966</c:v>
                </c:pt>
                <c:pt idx="39">
                  <c:v>15.432710628686989</c:v>
                </c:pt>
                <c:pt idx="40">
                  <c:v>14.635126170733452</c:v>
                </c:pt>
                <c:pt idx="41">
                  <c:v>19.096926259997772</c:v>
                </c:pt>
                <c:pt idx="42">
                  <c:v>5.846125072235612</c:v>
                </c:pt>
                <c:pt idx="43">
                  <c:v>1.5759675627261485</c:v>
                </c:pt>
                <c:pt idx="44">
                  <c:v>9.4669758166118694</c:v>
                </c:pt>
                <c:pt idx="45">
                  <c:v>8.4353520536863922</c:v>
                </c:pt>
                <c:pt idx="46">
                  <c:v>19.089313075095905</c:v>
                </c:pt>
                <c:pt idx="47">
                  <c:v>9.9347094785107259</c:v>
                </c:pt>
                <c:pt idx="48">
                  <c:v>15.312253291218385</c:v>
                </c:pt>
                <c:pt idx="49">
                  <c:v>18.890283958084989</c:v>
                </c:pt>
                <c:pt idx="50">
                  <c:v>11.782437844750396</c:v>
                </c:pt>
                <c:pt idx="51">
                  <c:v>13.612798656112677</c:v>
                </c:pt>
                <c:pt idx="52">
                  <c:v>13.86374277928908</c:v>
                </c:pt>
                <c:pt idx="53">
                  <c:v>5.1314086374778416</c:v>
                </c:pt>
                <c:pt idx="54">
                  <c:v>12.051895515187461</c:v>
                </c:pt>
                <c:pt idx="55">
                  <c:v>1.6609436057462257</c:v>
                </c:pt>
                <c:pt idx="56">
                  <c:v>6.7903737536008943</c:v>
                </c:pt>
                <c:pt idx="57">
                  <c:v>14.166211745220275</c:v>
                </c:pt>
                <c:pt idx="58">
                  <c:v>7.2807580134516048</c:v>
                </c:pt>
                <c:pt idx="59">
                  <c:v>8.8501269302669456</c:v>
                </c:pt>
                <c:pt idx="60">
                  <c:v>8.5238944210030105</c:v>
                </c:pt>
                <c:pt idx="61">
                  <c:v>1.1424667626715834</c:v>
                </c:pt>
                <c:pt idx="62">
                  <c:v>13.722065747462926</c:v>
                </c:pt>
                <c:pt idx="63">
                  <c:v>8.8593168673563252</c:v>
                </c:pt>
                <c:pt idx="64">
                  <c:v>7.789555473338746</c:v>
                </c:pt>
                <c:pt idx="65">
                  <c:v>13.819489284465492</c:v>
                </c:pt>
                <c:pt idx="66">
                  <c:v>15.387802088282609</c:v>
                </c:pt>
                <c:pt idx="67">
                  <c:v>11.924722411680152</c:v>
                </c:pt>
                <c:pt idx="68">
                  <c:v>19.088899015088753</c:v>
                </c:pt>
                <c:pt idx="69">
                  <c:v>3.3768979380077662</c:v>
                </c:pt>
                <c:pt idx="70">
                  <c:v>18.836552549693529</c:v>
                </c:pt>
                <c:pt idx="71">
                  <c:v>10.586887917667291</c:v>
                </c:pt>
                <c:pt idx="72">
                  <c:v>5.2326591785992385</c:v>
                </c:pt>
                <c:pt idx="73">
                  <c:v>6.6299379102335472</c:v>
                </c:pt>
                <c:pt idx="74">
                  <c:v>9.2755519727331599</c:v>
                </c:pt>
                <c:pt idx="75">
                  <c:v>10.572077667838659</c:v>
                </c:pt>
                <c:pt idx="76">
                  <c:v>10.619619223622193</c:v>
                </c:pt>
                <c:pt idx="77">
                  <c:v>18.80323027836647</c:v>
                </c:pt>
                <c:pt idx="78">
                  <c:v>15.465636471869358</c:v>
                </c:pt>
                <c:pt idx="79">
                  <c:v>5.4196167677955254</c:v>
                </c:pt>
                <c:pt idx="80">
                  <c:v>11.406693685758805</c:v>
                </c:pt>
                <c:pt idx="81">
                  <c:v>6.7413563982560119</c:v>
                </c:pt>
                <c:pt idx="82">
                  <c:v>18.023599072439644</c:v>
                </c:pt>
                <c:pt idx="83">
                  <c:v>2.4235175400204763</c:v>
                </c:pt>
                <c:pt idx="84">
                  <c:v>4.0959113700510725</c:v>
                </c:pt>
                <c:pt idx="85">
                  <c:v>12.973966270416431</c:v>
                </c:pt>
                <c:pt idx="86">
                  <c:v>18.942811759111247</c:v>
                </c:pt>
                <c:pt idx="87">
                  <c:v>17.284866871751415</c:v>
                </c:pt>
                <c:pt idx="88">
                  <c:v>5.3185423132427747</c:v>
                </c:pt>
                <c:pt idx="89">
                  <c:v>3.6727997843088795</c:v>
                </c:pt>
                <c:pt idx="90">
                  <c:v>10.576253308910292</c:v>
                </c:pt>
                <c:pt idx="91">
                  <c:v>8.6414049978121739</c:v>
                </c:pt>
                <c:pt idx="92">
                  <c:v>14.259869158710686</c:v>
                </c:pt>
                <c:pt idx="93">
                  <c:v>1.465119281604166</c:v>
                </c:pt>
                <c:pt idx="94">
                  <c:v>11.455626466893262</c:v>
                </c:pt>
                <c:pt idx="95">
                  <c:v>9.3288330366884775</c:v>
                </c:pt>
                <c:pt idx="96">
                  <c:v>2.7707715121545138</c:v>
                </c:pt>
                <c:pt idx="97">
                  <c:v>7.3140345713490182</c:v>
                </c:pt>
                <c:pt idx="98">
                  <c:v>5.6842576922533539</c:v>
                </c:pt>
                <c:pt idx="99">
                  <c:v>19.523350294740272</c:v>
                </c:pt>
                <c:pt idx="100">
                  <c:v>16.88723427622908</c:v>
                </c:pt>
                <c:pt idx="101">
                  <c:v>13.799316783719012</c:v>
                </c:pt>
                <c:pt idx="102">
                  <c:v>4.6303437975963142</c:v>
                </c:pt>
                <c:pt idx="103">
                  <c:v>17.515678787807573</c:v>
                </c:pt>
                <c:pt idx="104">
                  <c:v>14.153192794892639</c:v>
                </c:pt>
                <c:pt idx="105">
                  <c:v>18.755714131480008</c:v>
                </c:pt>
                <c:pt idx="106">
                  <c:v>4.0373105874957034</c:v>
                </c:pt>
                <c:pt idx="107">
                  <c:v>13.51362065814504</c:v>
                </c:pt>
                <c:pt idx="108">
                  <c:v>15.711255093592005</c:v>
                </c:pt>
                <c:pt idx="109">
                  <c:v>16.167684173917049</c:v>
                </c:pt>
                <c:pt idx="110">
                  <c:v>8.1532114455232083</c:v>
                </c:pt>
                <c:pt idx="111">
                  <c:v>7.5847943869277721</c:v>
                </c:pt>
                <c:pt idx="112">
                  <c:v>12.967365281635269</c:v>
                </c:pt>
                <c:pt idx="113">
                  <c:v>8.85922408903809</c:v>
                </c:pt>
                <c:pt idx="114">
                  <c:v>7.7608469439187928</c:v>
                </c:pt>
                <c:pt idx="115">
                  <c:v>17.678620425327807</c:v>
                </c:pt>
                <c:pt idx="116">
                  <c:v>3.1525211991388127</c:v>
                </c:pt>
                <c:pt idx="117">
                  <c:v>2.8823954459501975</c:v>
                </c:pt>
                <c:pt idx="118">
                  <c:v>19.385042617438636</c:v>
                </c:pt>
                <c:pt idx="119">
                  <c:v>8.1854899805364347</c:v>
                </c:pt>
                <c:pt idx="120">
                  <c:v>7.8087610851686042</c:v>
                </c:pt>
                <c:pt idx="121">
                  <c:v>3.3858239908065273</c:v>
                </c:pt>
                <c:pt idx="122">
                  <c:v>8.6853274676151955</c:v>
                </c:pt>
                <c:pt idx="123">
                  <c:v>4.2117858146749656</c:v>
                </c:pt>
                <c:pt idx="124">
                  <c:v>8.8793538260571729</c:v>
                </c:pt>
                <c:pt idx="125">
                  <c:v>10.77582429935082</c:v>
                </c:pt>
                <c:pt idx="126">
                  <c:v>4.6070685726176794</c:v>
                </c:pt>
                <c:pt idx="127">
                  <c:v>1.5473227180113347</c:v>
                </c:pt>
                <c:pt idx="128">
                  <c:v>15.956967839930455</c:v>
                </c:pt>
                <c:pt idx="129">
                  <c:v>8.4162812482892857</c:v>
                </c:pt>
                <c:pt idx="130">
                  <c:v>5.2797721595549874</c:v>
                </c:pt>
                <c:pt idx="131">
                  <c:v>1.35438776632576</c:v>
                </c:pt>
                <c:pt idx="132">
                  <c:v>5.9026872541999591</c:v>
                </c:pt>
                <c:pt idx="133">
                  <c:v>16.936459394204807</c:v>
                </c:pt>
                <c:pt idx="134">
                  <c:v>7.5559244258158147</c:v>
                </c:pt>
                <c:pt idx="135">
                  <c:v>15.14197578671819</c:v>
                </c:pt>
                <c:pt idx="136">
                  <c:v>2.2852671209996775</c:v>
                </c:pt>
                <c:pt idx="137">
                  <c:v>12.332122097458864</c:v>
                </c:pt>
                <c:pt idx="138">
                  <c:v>7.2687369529194497</c:v>
                </c:pt>
                <c:pt idx="139">
                  <c:v>11.849291304524954</c:v>
                </c:pt>
                <c:pt idx="140">
                  <c:v>17.075385045533864</c:v>
                </c:pt>
                <c:pt idx="141">
                  <c:v>18.563011982104868</c:v>
                </c:pt>
                <c:pt idx="142">
                  <c:v>19.529859070562587</c:v>
                </c:pt>
                <c:pt idx="143">
                  <c:v>19.239558166282521</c:v>
                </c:pt>
                <c:pt idx="144">
                  <c:v>13.915590655716651</c:v>
                </c:pt>
                <c:pt idx="145">
                  <c:v>18.500760103373974</c:v>
                </c:pt>
                <c:pt idx="146">
                  <c:v>9.4876110615018412</c:v>
                </c:pt>
                <c:pt idx="147">
                  <c:v>16.088387612182256</c:v>
                </c:pt>
                <c:pt idx="148">
                  <c:v>11.145352809519313</c:v>
                </c:pt>
                <c:pt idx="149">
                  <c:v>12.064354746372333</c:v>
                </c:pt>
                <c:pt idx="150">
                  <c:v>18.982507393142836</c:v>
                </c:pt>
                <c:pt idx="151">
                  <c:v>12.274330058474408</c:v>
                </c:pt>
                <c:pt idx="152">
                  <c:v>10.037009410492075</c:v>
                </c:pt>
                <c:pt idx="153">
                  <c:v>16.608677721229469</c:v>
                </c:pt>
                <c:pt idx="154">
                  <c:v>13.913783553175756</c:v>
                </c:pt>
                <c:pt idx="155">
                  <c:v>6.8785411740913087</c:v>
                </c:pt>
                <c:pt idx="156">
                  <c:v>18.950896138133885</c:v>
                </c:pt>
                <c:pt idx="157">
                  <c:v>7.7771837891923923</c:v>
                </c:pt>
                <c:pt idx="158">
                  <c:v>2.5187377966943467</c:v>
                </c:pt>
                <c:pt idx="159">
                  <c:v>10.237652138969157</c:v>
                </c:pt>
                <c:pt idx="160">
                  <c:v>3.0945684496851227</c:v>
                </c:pt>
                <c:pt idx="161">
                  <c:v>3.7676298969469988</c:v>
                </c:pt>
                <c:pt idx="162">
                  <c:v>10.896469573538296</c:v>
                </c:pt>
                <c:pt idx="163">
                  <c:v>4.6269336013149758</c:v>
                </c:pt>
                <c:pt idx="164">
                  <c:v>8.7592933897327416</c:v>
                </c:pt>
                <c:pt idx="165">
                  <c:v>16.285797656417106</c:v>
                </c:pt>
                <c:pt idx="166">
                  <c:v>9.0593822277788192</c:v>
                </c:pt>
                <c:pt idx="167">
                  <c:v>16.379426722272189</c:v>
                </c:pt>
                <c:pt idx="168">
                  <c:v>18.299070505111434</c:v>
                </c:pt>
                <c:pt idx="169">
                  <c:v>18.650278991306752</c:v>
                </c:pt>
                <c:pt idx="170">
                  <c:v>9.9391817339055741</c:v>
                </c:pt>
                <c:pt idx="171">
                  <c:v>8.3628863893936138</c:v>
                </c:pt>
                <c:pt idx="172">
                  <c:v>18.28791184159428</c:v>
                </c:pt>
                <c:pt idx="173">
                  <c:v>10.491343271641664</c:v>
                </c:pt>
                <c:pt idx="174">
                  <c:v>15.10013025902667</c:v>
                </c:pt>
                <c:pt idx="175">
                  <c:v>7.2608011467385891</c:v>
                </c:pt>
                <c:pt idx="176">
                  <c:v>13.625741975822304</c:v>
                </c:pt>
                <c:pt idx="177">
                  <c:v>7.3580949665239155</c:v>
                </c:pt>
                <c:pt idx="178">
                  <c:v>3.77056000820793</c:v>
                </c:pt>
                <c:pt idx="179">
                  <c:v>15.55072472364072</c:v>
                </c:pt>
                <c:pt idx="180">
                  <c:v>9.2806198511861755</c:v>
                </c:pt>
                <c:pt idx="181">
                  <c:v>9.1125858219198399</c:v>
                </c:pt>
                <c:pt idx="182">
                  <c:v>18.636777486570828</c:v>
                </c:pt>
                <c:pt idx="183">
                  <c:v>8.6398523020950115</c:v>
                </c:pt>
                <c:pt idx="184">
                  <c:v>18.399867506389253</c:v>
                </c:pt>
                <c:pt idx="185">
                  <c:v>13.197790986306602</c:v>
                </c:pt>
                <c:pt idx="186">
                  <c:v>17.715663205134838</c:v>
                </c:pt>
                <c:pt idx="187">
                  <c:v>19.333744246910236</c:v>
                </c:pt>
                <c:pt idx="188">
                  <c:v>5.9144375155623212</c:v>
                </c:pt>
                <c:pt idx="189">
                  <c:v>5.8274199811965453</c:v>
                </c:pt>
                <c:pt idx="190">
                  <c:v>18.734307333625051</c:v>
                </c:pt>
                <c:pt idx="191">
                  <c:v>9.2063953332042114</c:v>
                </c:pt>
                <c:pt idx="192">
                  <c:v>11.635467004629227</c:v>
                </c:pt>
                <c:pt idx="193">
                  <c:v>7.317042768954658</c:v>
                </c:pt>
                <c:pt idx="194">
                  <c:v>17.853190583002814</c:v>
                </c:pt>
                <c:pt idx="195">
                  <c:v>15.647774530957088</c:v>
                </c:pt>
                <c:pt idx="196">
                  <c:v>15.13665844685905</c:v>
                </c:pt>
                <c:pt idx="197">
                  <c:v>17.920218418171185</c:v>
                </c:pt>
                <c:pt idx="198">
                  <c:v>11.009206295759592</c:v>
                </c:pt>
                <c:pt idx="199">
                  <c:v>11.233138854238574</c:v>
                </c:pt>
                <c:pt idx="200">
                  <c:v>11.135087697276832</c:v>
                </c:pt>
                <c:pt idx="201">
                  <c:v>12.084900715042529</c:v>
                </c:pt>
                <c:pt idx="202">
                  <c:v>16.185357994972023</c:v>
                </c:pt>
                <c:pt idx="203">
                  <c:v>9.0245647009054988</c:v>
                </c:pt>
                <c:pt idx="204">
                  <c:v>9.3148084439199934</c:v>
                </c:pt>
                <c:pt idx="205">
                  <c:v>12.952426928753468</c:v>
                </c:pt>
                <c:pt idx="206">
                  <c:v>19.834801358679329</c:v>
                </c:pt>
                <c:pt idx="207">
                  <c:v>10.579899397524978</c:v>
                </c:pt>
                <c:pt idx="208">
                  <c:v>6.7609698016426885</c:v>
                </c:pt>
                <c:pt idx="209">
                  <c:v>2.1303966359050932</c:v>
                </c:pt>
                <c:pt idx="210">
                  <c:v>6.7348268528670996</c:v>
                </c:pt>
                <c:pt idx="211">
                  <c:v>7.3735120908861251</c:v>
                </c:pt>
                <c:pt idx="212">
                  <c:v>11.99176624767448</c:v>
                </c:pt>
                <c:pt idx="213">
                  <c:v>12.628491599173858</c:v>
                </c:pt>
                <c:pt idx="214">
                  <c:v>10.576811194757132</c:v>
                </c:pt>
                <c:pt idx="215">
                  <c:v>10.674134068467275</c:v>
                </c:pt>
                <c:pt idx="216">
                  <c:v>9.5031390375468536</c:v>
                </c:pt>
                <c:pt idx="217">
                  <c:v>4.1249786733884921</c:v>
                </c:pt>
                <c:pt idx="218">
                  <c:v>3.2122127228440762</c:v>
                </c:pt>
                <c:pt idx="219">
                  <c:v>8.5791154648131176</c:v>
                </c:pt>
                <c:pt idx="220">
                  <c:v>17.81182654205541</c:v>
                </c:pt>
                <c:pt idx="221">
                  <c:v>7.8778363065776356</c:v>
                </c:pt>
                <c:pt idx="222">
                  <c:v>10.45961164371098</c:v>
                </c:pt>
                <c:pt idx="223">
                  <c:v>1.1453236303016787</c:v>
                </c:pt>
                <c:pt idx="224">
                  <c:v>5.8351791283337962</c:v>
                </c:pt>
                <c:pt idx="225">
                  <c:v>4.7315847851717763</c:v>
                </c:pt>
                <c:pt idx="226">
                  <c:v>12.062517183754045</c:v>
                </c:pt>
                <c:pt idx="227">
                  <c:v>6.402794942436171</c:v>
                </c:pt>
                <c:pt idx="228">
                  <c:v>4.3570610330522594</c:v>
                </c:pt>
                <c:pt idx="229">
                  <c:v>16.265753416664111</c:v>
                </c:pt>
                <c:pt idx="230">
                  <c:v>11.162270510846019</c:v>
                </c:pt>
                <c:pt idx="231">
                  <c:v>4.5929713847450717</c:v>
                </c:pt>
                <c:pt idx="232">
                  <c:v>10.558100921135946</c:v>
                </c:pt>
                <c:pt idx="233">
                  <c:v>2.7952329788370678</c:v>
                </c:pt>
                <c:pt idx="234">
                  <c:v>11.995720048006064</c:v>
                </c:pt>
                <c:pt idx="235">
                  <c:v>15.880238285682976</c:v>
                </c:pt>
                <c:pt idx="236">
                  <c:v>9.1592573005196449</c:v>
                </c:pt>
                <c:pt idx="237">
                  <c:v>18.781001223876412</c:v>
                </c:pt>
                <c:pt idx="238">
                  <c:v>10.24711492838267</c:v>
                </c:pt>
                <c:pt idx="239">
                  <c:v>3.4319793202356483</c:v>
                </c:pt>
                <c:pt idx="240">
                  <c:v>4.2898301732841357</c:v>
                </c:pt>
                <c:pt idx="241">
                  <c:v>7.3513259178949486</c:v>
                </c:pt>
                <c:pt idx="242">
                  <c:v>6.5590775434372226</c:v>
                </c:pt>
                <c:pt idx="243">
                  <c:v>15.582758353554716</c:v>
                </c:pt>
                <c:pt idx="244">
                  <c:v>18.590073952858035</c:v>
                </c:pt>
                <c:pt idx="245">
                  <c:v>5.2403992190759716</c:v>
                </c:pt>
                <c:pt idx="246">
                  <c:v>12.832494671902397</c:v>
                </c:pt>
                <c:pt idx="247">
                  <c:v>18.95040240550027</c:v>
                </c:pt>
                <c:pt idx="248">
                  <c:v>9.1948540406817134</c:v>
                </c:pt>
                <c:pt idx="249">
                  <c:v>12.390391444965628</c:v>
                </c:pt>
                <c:pt idx="250">
                  <c:v>18.735917811184656</c:v>
                </c:pt>
                <c:pt idx="251">
                  <c:v>1.2608490061576467</c:v>
                </c:pt>
                <c:pt idx="252">
                  <c:v>8.2843695163976285</c:v>
                </c:pt>
                <c:pt idx="253">
                  <c:v>12.366152189109481</c:v>
                </c:pt>
                <c:pt idx="254">
                  <c:v>9.4435675050831485</c:v>
                </c:pt>
                <c:pt idx="255">
                  <c:v>8.5599296629588348</c:v>
                </c:pt>
                <c:pt idx="256">
                  <c:v>16.806494230962635</c:v>
                </c:pt>
                <c:pt idx="257">
                  <c:v>14.559958564398494</c:v>
                </c:pt>
                <c:pt idx="258">
                  <c:v>2.8843419997344926</c:v>
                </c:pt>
                <c:pt idx="259">
                  <c:v>11.521971746546205</c:v>
                </c:pt>
                <c:pt idx="260">
                  <c:v>7.5541649440958576</c:v>
                </c:pt>
                <c:pt idx="261">
                  <c:v>10.141320597929417</c:v>
                </c:pt>
                <c:pt idx="262">
                  <c:v>3.8766385418459826</c:v>
                </c:pt>
                <c:pt idx="263">
                  <c:v>15.24741067773831</c:v>
                </c:pt>
                <c:pt idx="264">
                  <c:v>11.798715840736435</c:v>
                </c:pt>
                <c:pt idx="265">
                  <c:v>18.885725642738546</c:v>
                </c:pt>
                <c:pt idx="266">
                  <c:v>15.143295107516852</c:v>
                </c:pt>
                <c:pt idx="267">
                  <c:v>8.5517110693979639</c:v>
                </c:pt>
                <c:pt idx="268">
                  <c:v>5.4734641212093553</c:v>
                </c:pt>
                <c:pt idx="269">
                  <c:v>16.752581729346971</c:v>
                </c:pt>
                <c:pt idx="270">
                  <c:v>8.4727066901993879</c:v>
                </c:pt>
                <c:pt idx="271">
                  <c:v>5.7995613229436263</c:v>
                </c:pt>
                <c:pt idx="272">
                  <c:v>7.7903788512512877</c:v>
                </c:pt>
                <c:pt idx="273">
                  <c:v>13.689734253820758</c:v>
                </c:pt>
                <c:pt idx="274">
                  <c:v>3.7213470869646859</c:v>
                </c:pt>
                <c:pt idx="275">
                  <c:v>14.710532241461832</c:v>
                </c:pt>
                <c:pt idx="276">
                  <c:v>15.99937132309705</c:v>
                </c:pt>
                <c:pt idx="277">
                  <c:v>15.852557601105701</c:v>
                </c:pt>
                <c:pt idx="278">
                  <c:v>19.190197552927394</c:v>
                </c:pt>
                <c:pt idx="279">
                  <c:v>3.7884920813434237</c:v>
                </c:pt>
                <c:pt idx="280">
                  <c:v>19.893952316694609</c:v>
                </c:pt>
                <c:pt idx="281">
                  <c:v>6.448946843645774</c:v>
                </c:pt>
                <c:pt idx="282">
                  <c:v>18.852976706787331</c:v>
                </c:pt>
                <c:pt idx="283">
                  <c:v>18.57761251336796</c:v>
                </c:pt>
                <c:pt idx="284">
                  <c:v>18.725965794683219</c:v>
                </c:pt>
                <c:pt idx="285">
                  <c:v>14.559402587538221</c:v>
                </c:pt>
                <c:pt idx="286">
                  <c:v>16.864806257089281</c:v>
                </c:pt>
                <c:pt idx="287">
                  <c:v>15.94421140190857</c:v>
                </c:pt>
                <c:pt idx="288">
                  <c:v>5.3938961134299142</c:v>
                </c:pt>
                <c:pt idx="289">
                  <c:v>11.37427768803836</c:v>
                </c:pt>
                <c:pt idx="290">
                  <c:v>13.511790467296578</c:v>
                </c:pt>
                <c:pt idx="291">
                  <c:v>11.503963374651976</c:v>
                </c:pt>
                <c:pt idx="292">
                  <c:v>6.4029788907844214</c:v>
                </c:pt>
                <c:pt idx="293">
                  <c:v>7.9529591486768201</c:v>
                </c:pt>
                <c:pt idx="294">
                  <c:v>8.8565960681221849</c:v>
                </c:pt>
                <c:pt idx="295">
                  <c:v>11.720153654955121</c:v>
                </c:pt>
                <c:pt idx="296">
                  <c:v>13.987296618476714</c:v>
                </c:pt>
                <c:pt idx="297">
                  <c:v>17.166146326772264</c:v>
                </c:pt>
                <c:pt idx="298">
                  <c:v>16.642489469903733</c:v>
                </c:pt>
                <c:pt idx="299">
                  <c:v>4.5135087790745017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EC-413F-AD0A-14FB6494A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217152"/>
        <c:axId val="789211392"/>
      </c:scatterChart>
      <c:valAx>
        <c:axId val="78921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211392"/>
        <c:crosses val="autoZero"/>
        <c:crossBetween val="midCat"/>
      </c:valAx>
      <c:valAx>
        <c:axId val="7892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21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476250</xdr:colOff>
      <xdr:row>6</xdr:row>
      <xdr:rowOff>47625</xdr:rowOff>
    </xdr:from>
    <xdr:to>
      <xdr:col>20</xdr:col>
      <xdr:colOff>257175</xdr:colOff>
      <xdr:row>20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F7AB9B-6FC5-2F91-4C9C-8ACAB791A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476250</xdr:colOff>
      <xdr:row>6</xdr:row>
      <xdr:rowOff>47625</xdr:rowOff>
    </xdr:from>
    <xdr:to>
      <xdr:col>22</xdr:col>
      <xdr:colOff>257175</xdr:colOff>
      <xdr:row>20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43EA9F-E304-43FA-B436-5914B7D28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161925</xdr:colOff>
      <xdr:row>4</xdr:row>
      <xdr:rowOff>19050</xdr:rowOff>
    </xdr:from>
    <xdr:to>
      <xdr:col>22</xdr:col>
      <xdr:colOff>1076325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936CFF-151C-42AB-972C-658C91227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D67A-64EC-4DC9-BAAD-5F77ED063744}">
  <dimension ref="C2:L302"/>
  <sheetViews>
    <sheetView workbookViewId="0">
      <selection activeCell="D10" sqref="D10"/>
    </sheetView>
  </sheetViews>
  <sheetFormatPr defaultRowHeight="15" x14ac:dyDescent="0.25"/>
  <cols>
    <col min="3" max="3" width="20.7109375" bestFit="1" customWidth="1"/>
    <col min="15" max="15" width="17" customWidth="1"/>
  </cols>
  <sheetData>
    <row r="2" spans="3:12" x14ac:dyDescent="0.25">
      <c r="C2" t="s">
        <v>1</v>
      </c>
      <c r="H2" t="s">
        <v>16</v>
      </c>
      <c r="I2" t="s">
        <v>17</v>
      </c>
      <c r="J2" t="s">
        <v>0</v>
      </c>
      <c r="K2" t="s">
        <v>14</v>
      </c>
      <c r="L2" t="s">
        <v>13</v>
      </c>
    </row>
    <row r="3" spans="3:12" x14ac:dyDescent="0.25">
      <c r="C3" s="1" t="s">
        <v>2</v>
      </c>
      <c r="D3">
        <v>3.5000000000000003E-2</v>
      </c>
      <c r="G3">
        <v>1</v>
      </c>
      <c r="H3">
        <v>7.9720288191389876E-2</v>
      </c>
      <c r="I3">
        <v>0.7139580971735805</v>
      </c>
      <c r="J3">
        <f>$D$6 + H3*(20-$D$6)</f>
        <v>2.5146854756364077</v>
      </c>
      <c r="K3">
        <f t="shared" ref="K3:K66" si="0">$E$7+$D$8*LOG10(J3-$D$6)</f>
        <v>0.72475646127149951</v>
      </c>
      <c r="L3">
        <f t="shared" ref="L3:L66" si="1">10^(K3+_xlfn.NORM.INV(I3, 0, $D$10))</f>
        <v>5.6624675097473265</v>
      </c>
    </row>
    <row r="4" spans="3:12" x14ac:dyDescent="0.25">
      <c r="C4" s="1" t="s">
        <v>3</v>
      </c>
      <c r="D4">
        <v>0.05</v>
      </c>
      <c r="G4">
        <v>2</v>
      </c>
      <c r="H4">
        <v>0.19934627719772058</v>
      </c>
      <c r="I4">
        <v>0.28368093256463134</v>
      </c>
      <c r="J4">
        <f>$D$6 + H4*(20-$D$6)</f>
        <v>4.7875792667566905</v>
      </c>
      <c r="K4">
        <f t="shared" si="0"/>
        <v>1.7861945134901214</v>
      </c>
      <c r="L4">
        <f t="shared" si="1"/>
        <v>57.226535898424515</v>
      </c>
    </row>
    <row r="5" spans="3:12" x14ac:dyDescent="0.25">
      <c r="C5" s="1" t="s">
        <v>4</v>
      </c>
      <c r="D5">
        <v>0.5</v>
      </c>
      <c r="G5">
        <v>3</v>
      </c>
      <c r="H5">
        <v>0.26499415990569852</v>
      </c>
      <c r="I5">
        <v>0.33428057659019861</v>
      </c>
      <c r="J5">
        <f t="shared" ref="J5:J67" si="2">$D$6 + H5*(20-$D$6)</f>
        <v>6.0348890382082718</v>
      </c>
      <c r="K5">
        <f t="shared" si="0"/>
        <v>2.1158696420448408</v>
      </c>
      <c r="L5">
        <f t="shared" si="1"/>
        <v>124.29780609826862</v>
      </c>
    </row>
    <row r="6" spans="3:12" x14ac:dyDescent="0.25">
      <c r="C6" s="1" t="s">
        <v>5</v>
      </c>
      <c r="D6" s="2">
        <v>1</v>
      </c>
      <c r="G6">
        <v>4</v>
      </c>
      <c r="H6">
        <v>0.44242670588643718</v>
      </c>
      <c r="I6">
        <v>0.65386987244142747</v>
      </c>
      <c r="J6">
        <f t="shared" si="2"/>
        <v>9.4061074118423065</v>
      </c>
      <c r="K6">
        <f t="shared" si="0"/>
        <v>2.7094830588047678</v>
      </c>
      <c r="L6">
        <f t="shared" si="1"/>
        <v>536.13299844555934</v>
      </c>
    </row>
    <row r="7" spans="3:12" x14ac:dyDescent="0.25">
      <c r="C7" s="1" t="s">
        <v>10</v>
      </c>
      <c r="D7">
        <f>(1.49/D3)*D5*(D5/(2*SQRT(1+D5*D5)))^(2/3)*D4^0.5</f>
        <v>1.7534628349561987</v>
      </c>
      <c r="E7" s="2">
        <f>LOG10(D7)</f>
        <v>0.24389656534469958</v>
      </c>
      <c r="G7">
        <v>5</v>
      </c>
      <c r="H7">
        <v>0.59118798361025271</v>
      </c>
      <c r="I7">
        <v>0.41992133082021488</v>
      </c>
      <c r="J7">
        <f t="shared" si="2"/>
        <v>12.232571688594801</v>
      </c>
      <c r="K7">
        <f t="shared" si="0"/>
        <v>3.0451744294275791</v>
      </c>
      <c r="L7">
        <f t="shared" si="1"/>
        <v>1084.1008689832772</v>
      </c>
    </row>
    <row r="8" spans="3:12" x14ac:dyDescent="0.25">
      <c r="C8" s="1" t="s">
        <v>11</v>
      </c>
      <c r="D8" s="2">
        <f>8/3</f>
        <v>2.6666666666666665</v>
      </c>
      <c r="G8">
        <v>6</v>
      </c>
      <c r="H8">
        <v>5.3588044167717563E-2</v>
      </c>
      <c r="I8">
        <v>0.71416578314862189</v>
      </c>
      <c r="J8">
        <f t="shared" si="2"/>
        <v>2.0181728391866338</v>
      </c>
      <c r="K8">
        <f t="shared" si="0"/>
        <v>0.26475391894853234</v>
      </c>
      <c r="L8">
        <f t="shared" si="1"/>
        <v>1.9635127241419799</v>
      </c>
    </row>
    <row r="9" spans="3:12" x14ac:dyDescent="0.25">
      <c r="G9">
        <v>7</v>
      </c>
      <c r="H9">
        <v>0.6754843248291138</v>
      </c>
      <c r="I9">
        <v>0.30585108300507824</v>
      </c>
      <c r="J9">
        <f t="shared" si="2"/>
        <v>13.834202171753162</v>
      </c>
      <c r="K9">
        <f t="shared" si="0"/>
        <v>3.199546902054462</v>
      </c>
      <c r="L9">
        <f t="shared" si="1"/>
        <v>1493.3604338377722</v>
      </c>
    </row>
    <row r="10" spans="3:12" x14ac:dyDescent="0.25">
      <c r="C10" s="1" t="s">
        <v>12</v>
      </c>
      <c r="D10" s="2">
        <v>0.05</v>
      </c>
      <c r="G10">
        <v>8</v>
      </c>
      <c r="H10">
        <v>0.25919915753817446</v>
      </c>
      <c r="I10">
        <v>0.9815877481989973</v>
      </c>
      <c r="J10">
        <f t="shared" si="2"/>
        <v>5.924783993225315</v>
      </c>
      <c r="K10">
        <f t="shared" si="0"/>
        <v>2.090262396247192</v>
      </c>
      <c r="L10">
        <f t="shared" si="1"/>
        <v>156.54803421412683</v>
      </c>
    </row>
    <row r="11" spans="3:12" x14ac:dyDescent="0.25">
      <c r="C11" s="1"/>
      <c r="G11">
        <v>9</v>
      </c>
      <c r="H11">
        <v>6.9757770635036409E-2</v>
      </c>
      <c r="I11">
        <v>9.0826854481868669E-2</v>
      </c>
      <c r="J11">
        <f t="shared" si="2"/>
        <v>2.3253976420656919</v>
      </c>
      <c r="K11">
        <f t="shared" si="0"/>
        <v>0.57015308168836742</v>
      </c>
      <c r="L11">
        <f t="shared" si="1"/>
        <v>3.1869045344638582</v>
      </c>
    </row>
    <row r="12" spans="3:12" x14ac:dyDescent="0.25">
      <c r="C12" s="1"/>
      <c r="G12">
        <v>10</v>
      </c>
      <c r="H12">
        <v>0.99157770374338261</v>
      </c>
      <c r="I12">
        <v>0.86701142438641587</v>
      </c>
      <c r="J12">
        <f t="shared" si="2"/>
        <v>19.839976371124269</v>
      </c>
      <c r="K12">
        <f t="shared" si="0"/>
        <v>3.6441108420652144</v>
      </c>
      <c r="L12">
        <f t="shared" si="1"/>
        <v>5008.7524576668238</v>
      </c>
    </row>
    <row r="13" spans="3:12" x14ac:dyDescent="0.25">
      <c r="C13" s="1"/>
      <c r="G13">
        <v>11</v>
      </c>
      <c r="H13">
        <v>0.4270237630727205</v>
      </c>
      <c r="I13">
        <v>0.50906581440035426</v>
      </c>
      <c r="J13">
        <f t="shared" si="2"/>
        <v>9.1134514983816892</v>
      </c>
      <c r="K13">
        <f t="shared" si="0"/>
        <v>2.6684449502111742</v>
      </c>
      <c r="L13">
        <f t="shared" si="1"/>
        <v>467.28439649588813</v>
      </c>
    </row>
    <row r="14" spans="3:12" x14ac:dyDescent="0.25">
      <c r="C14" s="1"/>
      <c r="G14">
        <v>12</v>
      </c>
      <c r="H14">
        <v>0.6755608830112223</v>
      </c>
      <c r="I14">
        <v>0.92297108284650498</v>
      </c>
      <c r="J14">
        <f t="shared" si="2"/>
        <v>13.835656777213224</v>
      </c>
      <c r="K14">
        <f t="shared" si="0"/>
        <v>3.1996781537041796</v>
      </c>
      <c r="L14">
        <f t="shared" si="1"/>
        <v>1866.1448281769381</v>
      </c>
    </row>
    <row r="15" spans="3:12" x14ac:dyDescent="0.25">
      <c r="C15" s="1"/>
      <c r="G15">
        <v>13</v>
      </c>
      <c r="H15">
        <v>0.75877761861881554</v>
      </c>
      <c r="I15">
        <v>0.24699772979403778</v>
      </c>
      <c r="J15">
        <f t="shared" si="2"/>
        <v>15.416774753757496</v>
      </c>
      <c r="K15">
        <f t="shared" si="0"/>
        <v>3.3342115337062594</v>
      </c>
      <c r="L15">
        <f t="shared" si="1"/>
        <v>1995.3226871445022</v>
      </c>
    </row>
    <row r="16" spans="3:12" x14ac:dyDescent="0.25">
      <c r="C16" s="1"/>
      <c r="G16">
        <v>14</v>
      </c>
      <c r="H16">
        <v>0.15690568112279224</v>
      </c>
      <c r="I16">
        <v>0.11950619554296371</v>
      </c>
      <c r="J16">
        <f t="shared" si="2"/>
        <v>3.9812079413330528</v>
      </c>
      <c r="K16">
        <f t="shared" si="0"/>
        <v>1.5089426171637208</v>
      </c>
      <c r="L16">
        <f t="shared" si="1"/>
        <v>28.188351083497615</v>
      </c>
    </row>
    <row r="17" spans="3:12" x14ac:dyDescent="0.25">
      <c r="G17">
        <v>15</v>
      </c>
      <c r="H17">
        <v>0.20729637297699166</v>
      </c>
      <c r="I17">
        <v>0.26723021008568604</v>
      </c>
      <c r="J17">
        <f t="shared" si="2"/>
        <v>4.9386310865628413</v>
      </c>
      <c r="K17">
        <f t="shared" si="0"/>
        <v>1.8314840436109183</v>
      </c>
      <c r="L17">
        <f t="shared" si="1"/>
        <v>63.157286775050721</v>
      </c>
    </row>
    <row r="18" spans="3:12" x14ac:dyDescent="0.25">
      <c r="G18">
        <v>16</v>
      </c>
      <c r="H18">
        <v>0.21644453206449998</v>
      </c>
      <c r="I18">
        <v>0.61254117729608781</v>
      </c>
      <c r="J18">
        <f t="shared" si="2"/>
        <v>5.1124461092255</v>
      </c>
      <c r="K18">
        <f t="shared" si="0"/>
        <v>1.8814971516518519</v>
      </c>
      <c r="L18">
        <f t="shared" si="1"/>
        <v>78.667359197778126</v>
      </c>
    </row>
    <row r="19" spans="3:12" x14ac:dyDescent="0.25">
      <c r="C19" s="1"/>
      <c r="G19">
        <v>17</v>
      </c>
      <c r="H19">
        <v>0.14547567158605101</v>
      </c>
      <c r="I19">
        <v>0.38135142535069388</v>
      </c>
      <c r="J19">
        <f t="shared" si="2"/>
        <v>3.7640377601349693</v>
      </c>
      <c r="K19">
        <f t="shared" si="0"/>
        <v>1.4213471566413804</v>
      </c>
      <c r="L19">
        <f t="shared" si="1"/>
        <v>25.482996099575715</v>
      </c>
    </row>
    <row r="20" spans="3:12" x14ac:dyDescent="0.25">
      <c r="G20">
        <v>18</v>
      </c>
      <c r="H20">
        <v>0.54526022428315635</v>
      </c>
      <c r="I20">
        <v>0.41553034938530697</v>
      </c>
      <c r="J20">
        <f t="shared" si="2"/>
        <v>11.359944261379971</v>
      </c>
      <c r="K20">
        <f t="shared" si="0"/>
        <v>2.9515163488708853</v>
      </c>
      <c r="L20">
        <f t="shared" si="1"/>
        <v>872.66845966273047</v>
      </c>
    </row>
    <row r="21" spans="3:12" x14ac:dyDescent="0.25">
      <c r="G21">
        <v>19</v>
      </c>
      <c r="H21">
        <v>5.0367241826119513E-2</v>
      </c>
      <c r="I21">
        <v>0.55465201768409811</v>
      </c>
      <c r="J21">
        <f t="shared" si="2"/>
        <v>1.9569775946962706</v>
      </c>
      <c r="K21">
        <f t="shared" si="0"/>
        <v>0.19296795186857882</v>
      </c>
      <c r="L21">
        <f t="shared" si="1"/>
        <v>1.5843062398931438</v>
      </c>
    </row>
    <row r="22" spans="3:12" x14ac:dyDescent="0.25">
      <c r="G22">
        <v>20</v>
      </c>
      <c r="H22">
        <v>7.8325635501351187E-2</v>
      </c>
      <c r="I22">
        <v>0.50188890433249078</v>
      </c>
      <c r="J22">
        <f t="shared" si="2"/>
        <v>2.4881870745256727</v>
      </c>
      <c r="K22">
        <f t="shared" si="0"/>
        <v>0.70431664055568421</v>
      </c>
      <c r="L22">
        <f t="shared" si="1"/>
        <v>5.0646959745763844</v>
      </c>
    </row>
    <row r="23" spans="3:12" x14ac:dyDescent="0.25">
      <c r="G23">
        <v>21</v>
      </c>
      <c r="H23">
        <v>0.33404069287474247</v>
      </c>
      <c r="I23">
        <v>0.65269990583242155</v>
      </c>
      <c r="J23">
        <f t="shared" si="2"/>
        <v>7.3467731646201067</v>
      </c>
      <c r="K23">
        <f t="shared" si="0"/>
        <v>2.3840378367840009</v>
      </c>
      <c r="L23">
        <f t="shared" si="1"/>
        <v>253.31962429454532</v>
      </c>
    </row>
    <row r="24" spans="3:12" x14ac:dyDescent="0.25">
      <c r="G24">
        <v>22</v>
      </c>
      <c r="H24">
        <v>0.47124691685462083</v>
      </c>
      <c r="I24">
        <v>0.88827964654306968</v>
      </c>
      <c r="J24">
        <f t="shared" si="2"/>
        <v>9.9536914202377957</v>
      </c>
      <c r="K24">
        <f t="shared" si="0"/>
        <v>2.7825688927923631</v>
      </c>
      <c r="L24">
        <f t="shared" si="1"/>
        <v>697.33326980736069</v>
      </c>
    </row>
    <row r="25" spans="3:12" x14ac:dyDescent="0.25">
      <c r="G25">
        <v>23</v>
      </c>
      <c r="H25">
        <v>0.9579419035757476</v>
      </c>
      <c r="I25">
        <v>0.38149549216730572</v>
      </c>
      <c r="J25">
        <f t="shared" si="2"/>
        <v>19.200896167939206</v>
      </c>
      <c r="K25">
        <f t="shared" si="0"/>
        <v>3.6041439576578727</v>
      </c>
      <c r="L25">
        <f t="shared" si="1"/>
        <v>3882.0952406696538</v>
      </c>
    </row>
    <row r="26" spans="3:12" x14ac:dyDescent="0.25">
      <c r="G26">
        <v>24</v>
      </c>
      <c r="H26">
        <v>0.33477478970879004</v>
      </c>
      <c r="I26">
        <v>0.43831649982363119</v>
      </c>
      <c r="J26">
        <f t="shared" si="2"/>
        <v>7.3607210044670106</v>
      </c>
      <c r="K26">
        <f t="shared" si="0"/>
        <v>2.3865801569747771</v>
      </c>
      <c r="L26">
        <f t="shared" si="1"/>
        <v>239.23141722822342</v>
      </c>
    </row>
    <row r="27" spans="3:12" x14ac:dyDescent="0.25">
      <c r="G27">
        <v>25</v>
      </c>
      <c r="H27">
        <v>0.68751369310433119</v>
      </c>
      <c r="I27">
        <v>0.95092244760447264</v>
      </c>
      <c r="J27">
        <f t="shared" si="2"/>
        <v>14.062760168982292</v>
      </c>
      <c r="K27">
        <f t="shared" si="0"/>
        <v>3.2199897741915584</v>
      </c>
      <c r="L27">
        <f t="shared" si="1"/>
        <v>2007.6268023133707</v>
      </c>
    </row>
    <row r="28" spans="3:12" x14ac:dyDescent="0.25">
      <c r="G28">
        <v>26</v>
      </c>
      <c r="H28">
        <v>0.91945692357688402</v>
      </c>
      <c r="I28">
        <v>0.98153800791011536</v>
      </c>
      <c r="J28">
        <f t="shared" si="2"/>
        <v>18.469681547960796</v>
      </c>
      <c r="K28">
        <f t="shared" si="0"/>
        <v>3.5566565343319754</v>
      </c>
      <c r="L28">
        <f t="shared" si="1"/>
        <v>4581.2787023645851</v>
      </c>
    </row>
    <row r="29" spans="3:12" x14ac:dyDescent="0.25">
      <c r="G29">
        <v>27</v>
      </c>
      <c r="H29">
        <v>0.21979990499104707</v>
      </c>
      <c r="I29">
        <v>0.52712493382008696</v>
      </c>
      <c r="J29">
        <f t="shared" si="2"/>
        <v>5.1761981948298939</v>
      </c>
      <c r="K29">
        <f t="shared" si="0"/>
        <v>1.8993128355198308</v>
      </c>
      <c r="L29">
        <f t="shared" si="1"/>
        <v>79.930966697439857</v>
      </c>
    </row>
    <row r="30" spans="3:12" x14ac:dyDescent="0.25">
      <c r="G30">
        <v>28</v>
      </c>
      <c r="H30">
        <v>0.16401230171361347</v>
      </c>
      <c r="I30">
        <v>5.5642340176892402E-2</v>
      </c>
      <c r="J30">
        <f t="shared" si="2"/>
        <v>4.1162337325586558</v>
      </c>
      <c r="K30">
        <f t="shared" si="0"/>
        <v>1.560243297085554</v>
      </c>
      <c r="L30">
        <f t="shared" si="1"/>
        <v>30.242732712716244</v>
      </c>
    </row>
    <row r="31" spans="3:12" x14ac:dyDescent="0.25">
      <c r="G31">
        <v>29</v>
      </c>
      <c r="H31">
        <v>0.9447049009709636</v>
      </c>
      <c r="I31">
        <v>0.31003880363329717</v>
      </c>
      <c r="J31">
        <f t="shared" si="2"/>
        <v>18.94939311844831</v>
      </c>
      <c r="K31">
        <f t="shared" si="0"/>
        <v>3.5880292836433343</v>
      </c>
      <c r="L31">
        <f t="shared" si="1"/>
        <v>3657.9879087380027</v>
      </c>
    </row>
    <row r="32" spans="3:12" x14ac:dyDescent="0.25">
      <c r="G32">
        <v>30</v>
      </c>
      <c r="H32">
        <v>0.79546461621857412</v>
      </c>
      <c r="I32">
        <v>0.19519298110335559</v>
      </c>
      <c r="J32">
        <f t="shared" si="2"/>
        <v>16.113827708152908</v>
      </c>
      <c r="K32">
        <f t="shared" si="0"/>
        <v>3.3888951443292896</v>
      </c>
      <c r="L32">
        <f t="shared" si="1"/>
        <v>2217.9372905666905</v>
      </c>
    </row>
    <row r="33" spans="7:12" x14ac:dyDescent="0.25">
      <c r="G33">
        <v>31</v>
      </c>
      <c r="H33">
        <v>4.7082223357030384E-2</v>
      </c>
      <c r="I33">
        <v>6.6778717965558898E-2</v>
      </c>
      <c r="J33">
        <f t="shared" si="2"/>
        <v>1.8945622437835774</v>
      </c>
      <c r="K33">
        <f t="shared" si="0"/>
        <v>0.11485806996881762</v>
      </c>
      <c r="L33">
        <f t="shared" si="1"/>
        <v>1.0960921621311659</v>
      </c>
    </row>
    <row r="34" spans="7:12" x14ac:dyDescent="0.25">
      <c r="G34">
        <v>32</v>
      </c>
      <c r="H34">
        <v>0.3136043752110208</v>
      </c>
      <c r="I34">
        <v>0.28003455482581097</v>
      </c>
      <c r="J34">
        <f t="shared" si="2"/>
        <v>6.9584831290093954</v>
      </c>
      <c r="K34">
        <f t="shared" si="0"/>
        <v>2.3109251360406584</v>
      </c>
      <c r="L34">
        <f t="shared" si="1"/>
        <v>191.33225634489855</v>
      </c>
    </row>
    <row r="35" spans="7:12" x14ac:dyDescent="0.25">
      <c r="G35">
        <v>33</v>
      </c>
      <c r="H35">
        <v>0.5475079021027659</v>
      </c>
      <c r="I35">
        <v>2.5153425874240964E-2</v>
      </c>
      <c r="J35">
        <f t="shared" si="2"/>
        <v>11.402650139952552</v>
      </c>
      <c r="K35">
        <f t="shared" si="0"/>
        <v>2.9562805456646517</v>
      </c>
      <c r="L35">
        <f t="shared" si="1"/>
        <v>721.7939982263631</v>
      </c>
    </row>
    <row r="36" spans="7:12" x14ac:dyDescent="0.25">
      <c r="G36">
        <v>34</v>
      </c>
      <c r="H36">
        <v>0.60558660289717148</v>
      </c>
      <c r="I36">
        <v>0.37805515798670453</v>
      </c>
      <c r="J36">
        <f t="shared" si="2"/>
        <v>12.506145455046259</v>
      </c>
      <c r="K36">
        <f t="shared" si="0"/>
        <v>3.0730428583099538</v>
      </c>
      <c r="L36">
        <f t="shared" si="1"/>
        <v>1141.5980698916539</v>
      </c>
    </row>
    <row r="37" spans="7:12" x14ac:dyDescent="0.25">
      <c r="G37">
        <v>35</v>
      </c>
      <c r="H37">
        <v>0.75115508398638164</v>
      </c>
      <c r="I37">
        <v>0.92144080894760505</v>
      </c>
      <c r="J37">
        <f t="shared" si="2"/>
        <v>15.271946595741252</v>
      </c>
      <c r="K37">
        <f t="shared" si="0"/>
        <v>3.322518463869196</v>
      </c>
      <c r="L37">
        <f t="shared" si="1"/>
        <v>2473.2040994381587</v>
      </c>
    </row>
    <row r="38" spans="7:12" x14ac:dyDescent="0.25">
      <c r="G38">
        <v>36</v>
      </c>
      <c r="H38">
        <v>0.19349784667875203</v>
      </c>
      <c r="I38">
        <v>0.23708794860578075</v>
      </c>
      <c r="J38">
        <f t="shared" si="2"/>
        <v>4.6764590868962888</v>
      </c>
      <c r="K38">
        <f t="shared" si="0"/>
        <v>1.7517091982309998</v>
      </c>
      <c r="L38">
        <f t="shared" si="1"/>
        <v>51.990517518016567</v>
      </c>
    </row>
    <row r="39" spans="7:12" x14ac:dyDescent="0.25">
      <c r="G39">
        <v>37</v>
      </c>
      <c r="H39">
        <v>0.50880385963376629</v>
      </c>
      <c r="I39">
        <v>0.46549897124702022</v>
      </c>
      <c r="J39">
        <f t="shared" si="2"/>
        <v>10.66727333304156</v>
      </c>
      <c r="K39">
        <f t="shared" si="0"/>
        <v>2.8713738934343347</v>
      </c>
      <c r="L39">
        <f t="shared" si="1"/>
        <v>736.28241244407673</v>
      </c>
    </row>
    <row r="40" spans="7:12" x14ac:dyDescent="0.25">
      <c r="G40">
        <v>38</v>
      </c>
      <c r="H40">
        <v>0.133794549290566</v>
      </c>
      <c r="I40">
        <v>7.7854210424469161E-2</v>
      </c>
      <c r="J40">
        <f t="shared" si="2"/>
        <v>3.5420964365207541</v>
      </c>
      <c r="K40">
        <f t="shared" si="0"/>
        <v>1.3244086236090846</v>
      </c>
      <c r="L40">
        <f t="shared" si="1"/>
        <v>17.92362797137082</v>
      </c>
    </row>
    <row r="41" spans="7:12" x14ac:dyDescent="0.25">
      <c r="G41">
        <v>39</v>
      </c>
      <c r="H41">
        <v>0.33062981218974719</v>
      </c>
      <c r="I41">
        <v>0.53338282061081743</v>
      </c>
      <c r="J41">
        <f t="shared" si="2"/>
        <v>7.2819664316051966</v>
      </c>
      <c r="K41">
        <f t="shared" si="0"/>
        <v>2.3721515289906536</v>
      </c>
      <c r="L41">
        <f t="shared" si="1"/>
        <v>237.8703654344427</v>
      </c>
    </row>
    <row r="42" spans="7:12" x14ac:dyDescent="0.25">
      <c r="G42">
        <v>40</v>
      </c>
      <c r="H42">
        <v>0.75961634887826257</v>
      </c>
      <c r="I42">
        <v>0.83095523442689834</v>
      </c>
      <c r="J42">
        <f t="shared" si="2"/>
        <v>15.432710628686989</v>
      </c>
      <c r="K42">
        <f t="shared" si="0"/>
        <v>3.3354909766556853</v>
      </c>
      <c r="L42">
        <f t="shared" si="1"/>
        <v>2417.6215715096328</v>
      </c>
    </row>
    <row r="43" spans="7:12" x14ac:dyDescent="0.25">
      <c r="G43">
        <v>41</v>
      </c>
      <c r="H43">
        <v>0.7176382195122869</v>
      </c>
      <c r="I43">
        <v>0.90175312307246258</v>
      </c>
      <c r="J43">
        <f t="shared" si="2"/>
        <v>14.635126170733452</v>
      </c>
      <c r="K43">
        <f t="shared" si="0"/>
        <v>3.2696543279567094</v>
      </c>
      <c r="L43">
        <f t="shared" si="1"/>
        <v>2158.9103549822621</v>
      </c>
    </row>
    <row r="44" spans="7:12" x14ac:dyDescent="0.25">
      <c r="G44">
        <v>42</v>
      </c>
      <c r="H44">
        <v>0.95246980315777741</v>
      </c>
      <c r="I44">
        <v>0.70352935341219192</v>
      </c>
      <c r="J44">
        <f t="shared" si="2"/>
        <v>19.096926259997772</v>
      </c>
      <c r="K44">
        <f t="shared" si="0"/>
        <v>3.597509410051976</v>
      </c>
      <c r="L44">
        <f t="shared" si="1"/>
        <v>4209.5758520461923</v>
      </c>
    </row>
    <row r="45" spans="7:12" x14ac:dyDescent="0.25">
      <c r="G45">
        <v>43</v>
      </c>
      <c r="H45">
        <v>0.25505921432819012</v>
      </c>
      <c r="I45">
        <v>0.56825511023500064</v>
      </c>
      <c r="J45">
        <f t="shared" si="2"/>
        <v>5.846125072235612</v>
      </c>
      <c r="K45">
        <f t="shared" si="0"/>
        <v>2.0716155480817067</v>
      </c>
      <c r="L45">
        <f t="shared" si="1"/>
        <v>120.28520840597703</v>
      </c>
    </row>
    <row r="46" spans="7:12" x14ac:dyDescent="0.25">
      <c r="G46">
        <v>44</v>
      </c>
      <c r="H46">
        <v>3.0314082248744656E-2</v>
      </c>
      <c r="I46">
        <v>0.88564805122046752</v>
      </c>
      <c r="J46">
        <f t="shared" si="2"/>
        <v>1.5759675627261485</v>
      </c>
      <c r="K46">
        <f t="shared" si="0"/>
        <v>-0.39504203314580222</v>
      </c>
      <c r="L46">
        <f t="shared" si="1"/>
        <v>0.46253348710802711</v>
      </c>
    </row>
    <row r="47" spans="7:12" x14ac:dyDescent="0.25">
      <c r="G47">
        <v>45</v>
      </c>
      <c r="H47">
        <v>0.44563030613746679</v>
      </c>
      <c r="I47">
        <v>0.66918195126700009</v>
      </c>
      <c r="J47">
        <f t="shared" si="2"/>
        <v>9.4669758166118694</v>
      </c>
      <c r="K47">
        <f t="shared" si="0"/>
        <v>2.717838750253823</v>
      </c>
      <c r="L47">
        <f t="shared" si="1"/>
        <v>549.18860903629889</v>
      </c>
    </row>
    <row r="48" spans="7:12" x14ac:dyDescent="0.25">
      <c r="G48">
        <v>46</v>
      </c>
      <c r="H48">
        <v>0.39133431861507328</v>
      </c>
      <c r="I48">
        <v>0.6781300209590212</v>
      </c>
      <c r="J48">
        <f t="shared" si="2"/>
        <v>8.4353520536863922</v>
      </c>
      <c r="K48">
        <f t="shared" si="0"/>
        <v>2.5673673295868413</v>
      </c>
      <c r="L48">
        <f t="shared" si="1"/>
        <v>389.48535563397132</v>
      </c>
    </row>
    <row r="49" spans="7:12" x14ac:dyDescent="0.25">
      <c r="G49">
        <v>47</v>
      </c>
      <c r="H49">
        <v>0.95206910921557397</v>
      </c>
      <c r="I49">
        <v>0.56047865016780207</v>
      </c>
      <c r="J49">
        <f t="shared" si="2"/>
        <v>19.089313075095905</v>
      </c>
      <c r="K49">
        <f t="shared" si="0"/>
        <v>3.5970220993243434</v>
      </c>
      <c r="L49">
        <f t="shared" si="1"/>
        <v>4023.7523480161385</v>
      </c>
    </row>
    <row r="50" spans="7:12" x14ac:dyDescent="0.25">
      <c r="G50">
        <v>48</v>
      </c>
      <c r="H50">
        <v>0.4702478672900382</v>
      </c>
      <c r="I50">
        <v>6.6305248569390018E-2</v>
      </c>
      <c r="J50">
        <f t="shared" si="2"/>
        <v>9.9347094785107259</v>
      </c>
      <c r="K50">
        <f t="shared" si="0"/>
        <v>2.7801110600880112</v>
      </c>
      <c r="L50">
        <f t="shared" si="1"/>
        <v>506.89349316613783</v>
      </c>
    </row>
    <row r="51" spans="7:12" x14ac:dyDescent="0.25">
      <c r="G51">
        <v>49</v>
      </c>
      <c r="H51">
        <v>0.75327648901149391</v>
      </c>
      <c r="I51">
        <v>0.85979485916509679</v>
      </c>
      <c r="J51">
        <f t="shared" si="2"/>
        <v>15.312253291218385</v>
      </c>
      <c r="K51">
        <f t="shared" si="0"/>
        <v>3.3257846014978578</v>
      </c>
      <c r="L51">
        <f t="shared" si="1"/>
        <v>2397.4773245384599</v>
      </c>
    </row>
    <row r="52" spans="7:12" x14ac:dyDescent="0.25">
      <c r="G52">
        <v>50</v>
      </c>
      <c r="H52">
        <v>0.94159389253078885</v>
      </c>
      <c r="I52">
        <v>0.98351410704938846</v>
      </c>
      <c r="J52">
        <f t="shared" si="2"/>
        <v>18.890283958084989</v>
      </c>
      <c r="K52">
        <f t="shared" si="0"/>
        <v>3.5842091888887291</v>
      </c>
      <c r="L52">
        <f t="shared" si="1"/>
        <v>4907.1634394457878</v>
      </c>
    </row>
    <row r="53" spans="7:12" x14ac:dyDescent="0.25">
      <c r="G53">
        <v>51</v>
      </c>
      <c r="H53">
        <v>0.56749672867107348</v>
      </c>
      <c r="I53">
        <v>0.42627587911618725</v>
      </c>
      <c r="J53">
        <f t="shared" si="2"/>
        <v>11.782437844750396</v>
      </c>
      <c r="K53">
        <f t="shared" si="0"/>
        <v>2.9978084675826446</v>
      </c>
      <c r="L53">
        <f t="shared" si="1"/>
        <v>973.90207136945946</v>
      </c>
    </row>
    <row r="54" spans="7:12" x14ac:dyDescent="0.25">
      <c r="G54">
        <v>52</v>
      </c>
      <c r="H54">
        <v>0.66383150821645664</v>
      </c>
      <c r="I54">
        <v>0.16591933840477435</v>
      </c>
      <c r="J54">
        <f t="shared" si="2"/>
        <v>13.612798656112677</v>
      </c>
      <c r="K54">
        <f t="shared" si="0"/>
        <v>3.1793937998645756</v>
      </c>
      <c r="L54">
        <f t="shared" si="1"/>
        <v>1351.6770802035501</v>
      </c>
    </row>
    <row r="55" spans="7:12" x14ac:dyDescent="0.25">
      <c r="G55">
        <v>53</v>
      </c>
      <c r="H55">
        <v>0.67703909364679371</v>
      </c>
      <c r="I55">
        <v>0.64069982964703687</v>
      </c>
      <c r="J55">
        <f t="shared" si="2"/>
        <v>13.86374277928908</v>
      </c>
      <c r="K55">
        <f t="shared" si="0"/>
        <v>3.202209491823484</v>
      </c>
      <c r="L55">
        <f t="shared" si="1"/>
        <v>1660.4507305599848</v>
      </c>
    </row>
    <row r="56" spans="7:12" x14ac:dyDescent="0.25">
      <c r="G56">
        <v>54</v>
      </c>
      <c r="H56">
        <v>0.2174425598672548</v>
      </c>
      <c r="I56">
        <v>0.20097807911715504</v>
      </c>
      <c r="J56">
        <f t="shared" si="2"/>
        <v>5.1314086374778416</v>
      </c>
      <c r="K56">
        <f t="shared" si="0"/>
        <v>1.8868249737513723</v>
      </c>
      <c r="L56">
        <f t="shared" si="1"/>
        <v>69.971041265926161</v>
      </c>
    </row>
    <row r="57" spans="7:12" x14ac:dyDescent="0.25">
      <c r="G57">
        <v>55</v>
      </c>
      <c r="H57">
        <v>0.58167871132565585</v>
      </c>
      <c r="I57">
        <v>0.66110486158187487</v>
      </c>
      <c r="J57">
        <f t="shared" si="2"/>
        <v>12.051895515187461</v>
      </c>
      <c r="K57">
        <f t="shared" si="0"/>
        <v>3.0263946198414775</v>
      </c>
      <c r="L57">
        <f t="shared" si="1"/>
        <v>1114.7273037575853</v>
      </c>
    </row>
    <row r="58" spans="7:12" x14ac:dyDescent="0.25">
      <c r="G58">
        <v>56</v>
      </c>
      <c r="H58">
        <v>3.478650556559082E-2</v>
      </c>
      <c r="I58">
        <v>0.23984781660952981</v>
      </c>
      <c r="J58">
        <f t="shared" si="2"/>
        <v>1.6609436057462257</v>
      </c>
      <c r="K58">
        <f t="shared" si="0"/>
        <v>-0.23566502028535977</v>
      </c>
      <c r="L58">
        <f t="shared" si="1"/>
        <v>0.5357909461428445</v>
      </c>
    </row>
    <row r="59" spans="7:12" x14ac:dyDescent="0.25">
      <c r="G59">
        <v>57</v>
      </c>
      <c r="H59">
        <v>0.30475651334741549</v>
      </c>
      <c r="I59">
        <v>0.19974951249176376</v>
      </c>
      <c r="J59">
        <f t="shared" si="2"/>
        <v>6.7903737536008943</v>
      </c>
      <c r="K59">
        <f t="shared" si="0"/>
        <v>2.2777808245822646</v>
      </c>
      <c r="L59">
        <f t="shared" si="1"/>
        <v>172.05013195792628</v>
      </c>
    </row>
    <row r="60" spans="7:12" x14ac:dyDescent="0.25">
      <c r="G60">
        <v>58</v>
      </c>
      <c r="H60">
        <v>0.69295851290633026</v>
      </c>
      <c r="I60">
        <v>0.50377270565068955</v>
      </c>
      <c r="J60">
        <f t="shared" si="2"/>
        <v>14.166211745220275</v>
      </c>
      <c r="K60">
        <f t="shared" si="0"/>
        <v>3.2291254595865437</v>
      </c>
      <c r="L60">
        <f t="shared" si="1"/>
        <v>1696.673611070531</v>
      </c>
    </row>
    <row r="61" spans="7:12" x14ac:dyDescent="0.25">
      <c r="G61">
        <v>59</v>
      </c>
      <c r="H61">
        <v>0.33056621123429497</v>
      </c>
      <c r="I61">
        <v>0.11810270313698756</v>
      </c>
      <c r="J61">
        <f t="shared" si="2"/>
        <v>7.2807580134516048</v>
      </c>
      <c r="K61">
        <f t="shared" si="0"/>
        <v>2.3719287283437183</v>
      </c>
      <c r="L61">
        <f t="shared" si="1"/>
        <v>205.44827114688877</v>
      </c>
    </row>
    <row r="62" spans="7:12" x14ac:dyDescent="0.25">
      <c r="G62">
        <v>60</v>
      </c>
      <c r="H62">
        <v>0.41316457527720762</v>
      </c>
      <c r="I62">
        <v>0.16664808612546278</v>
      </c>
      <c r="J62">
        <f t="shared" si="2"/>
        <v>8.8501269302669456</v>
      </c>
      <c r="K62">
        <f t="shared" si="0"/>
        <v>2.6302343760008644</v>
      </c>
      <c r="L62">
        <f t="shared" si="1"/>
        <v>381.82079647274975</v>
      </c>
    </row>
    <row r="63" spans="7:12" x14ac:dyDescent="0.25">
      <c r="G63">
        <v>61</v>
      </c>
      <c r="H63">
        <v>0.39599444321068478</v>
      </c>
      <c r="I63">
        <v>0.43894531688043281</v>
      </c>
      <c r="J63">
        <f t="shared" si="2"/>
        <v>8.5238944210030105</v>
      </c>
      <c r="K63">
        <f t="shared" si="0"/>
        <v>2.5810770791760413</v>
      </c>
      <c r="L63">
        <f t="shared" si="1"/>
        <v>374.45091085228262</v>
      </c>
    </row>
    <row r="64" spans="7:12" x14ac:dyDescent="0.25">
      <c r="G64">
        <v>62</v>
      </c>
      <c r="H64">
        <v>7.4982506669254434E-3</v>
      </c>
      <c r="I64">
        <v>0.52680533528371731</v>
      </c>
      <c r="J64">
        <f t="shared" si="2"/>
        <v>1.1424667626715834</v>
      </c>
      <c r="K64">
        <f t="shared" si="0"/>
        <v>-2.0128672859377854</v>
      </c>
      <c r="L64">
        <f t="shared" si="1"/>
        <v>9.7835123256772398E-3</v>
      </c>
    </row>
    <row r="65" spans="7:12" x14ac:dyDescent="0.25">
      <c r="G65">
        <v>63</v>
      </c>
      <c r="H65">
        <v>0.66958240776120659</v>
      </c>
      <c r="I65">
        <v>0.81819528685772214</v>
      </c>
      <c r="J65">
        <f t="shared" si="2"/>
        <v>13.722065747462926</v>
      </c>
      <c r="K65">
        <f t="shared" si="0"/>
        <v>3.1893835938094854</v>
      </c>
      <c r="L65">
        <f t="shared" si="1"/>
        <v>1717.153176641493</v>
      </c>
    </row>
    <row r="66" spans="7:12" x14ac:dyDescent="0.25">
      <c r="G66">
        <v>64</v>
      </c>
      <c r="H66">
        <v>0.41364825617664869</v>
      </c>
      <c r="I66">
        <v>0.94726336972644753</v>
      </c>
      <c r="J66">
        <f t="shared" si="2"/>
        <v>8.8593168673563252</v>
      </c>
      <c r="K66">
        <f t="shared" si="0"/>
        <v>2.6315893620330124</v>
      </c>
      <c r="L66">
        <f t="shared" si="1"/>
        <v>515.86174301073993</v>
      </c>
    </row>
    <row r="67" spans="7:12" x14ac:dyDescent="0.25">
      <c r="G67">
        <v>65</v>
      </c>
      <c r="H67">
        <v>0.35734502491256559</v>
      </c>
      <c r="I67">
        <v>0.95065698392424602</v>
      </c>
      <c r="J67">
        <f t="shared" si="2"/>
        <v>7.789555473338746</v>
      </c>
      <c r="K67">
        <f t="shared" ref="K67:K130" si="3">$E$7+$D$8*LOG10(J67-$D$6)</f>
        <v>2.4621401414149302</v>
      </c>
      <c r="L67">
        <f t="shared" ref="L67:L130" si="4">10^(K67+_xlfn.NORM.INV(I67, 0, $D$10))</f>
        <v>350.51209622475409</v>
      </c>
    </row>
    <row r="68" spans="7:12" x14ac:dyDescent="0.25">
      <c r="G68">
        <v>66</v>
      </c>
      <c r="H68">
        <v>0.67470996234028902</v>
      </c>
      <c r="I68">
        <v>0.53730585160871558</v>
      </c>
      <c r="J68">
        <f t="shared" ref="J68:J131" si="5">$D$6 + H68*(20-$D$6)</f>
        <v>13.819489284465492</v>
      </c>
      <c r="K68">
        <f t="shared" si="3"/>
        <v>3.1982184951391694</v>
      </c>
      <c r="L68">
        <f t="shared" si="4"/>
        <v>1595.5151247748438</v>
      </c>
    </row>
    <row r="69" spans="7:12" x14ac:dyDescent="0.25">
      <c r="G69">
        <v>67</v>
      </c>
      <c r="H69">
        <v>0.75725274148855837</v>
      </c>
      <c r="I69">
        <v>0.4822689820167636</v>
      </c>
      <c r="J69">
        <f t="shared" si="5"/>
        <v>15.387802088282609</v>
      </c>
      <c r="K69">
        <f t="shared" si="3"/>
        <v>3.331881779319593</v>
      </c>
      <c r="L69">
        <f t="shared" si="4"/>
        <v>2136.2830449511998</v>
      </c>
    </row>
    <row r="70" spans="7:12" x14ac:dyDescent="0.25">
      <c r="G70">
        <v>68</v>
      </c>
      <c r="H70">
        <v>0.57498539008842908</v>
      </c>
      <c r="I70">
        <v>1.7168059213701348E-5</v>
      </c>
      <c r="J70">
        <f t="shared" si="5"/>
        <v>11.924722411680152</v>
      </c>
      <c r="K70">
        <f t="shared" si="3"/>
        <v>3.012990993912017</v>
      </c>
      <c r="L70">
        <f t="shared" si="4"/>
        <v>639.52866206239582</v>
      </c>
    </row>
    <row r="71" spans="7:12" x14ac:dyDescent="0.25">
      <c r="G71">
        <v>69</v>
      </c>
      <c r="H71">
        <v>0.95204731658361863</v>
      </c>
      <c r="I71">
        <v>0.68551449902403128</v>
      </c>
      <c r="J71">
        <f t="shared" si="5"/>
        <v>19.088899015088753</v>
      </c>
      <c r="K71">
        <f t="shared" si="3"/>
        <v>3.5969955899654926</v>
      </c>
      <c r="L71">
        <f t="shared" si="4"/>
        <v>4179.789146887646</v>
      </c>
    </row>
    <row r="72" spans="7:12" x14ac:dyDescent="0.25">
      <c r="G72">
        <v>70</v>
      </c>
      <c r="H72">
        <v>0.12509989147409295</v>
      </c>
      <c r="I72">
        <v>0.44672126451432925</v>
      </c>
      <c r="J72">
        <f t="shared" si="5"/>
        <v>3.3768979380077662</v>
      </c>
      <c r="K72">
        <f t="shared" si="3"/>
        <v>1.2465913223843526</v>
      </c>
      <c r="L72">
        <f t="shared" si="4"/>
        <v>17.373761233595815</v>
      </c>
    </row>
    <row r="73" spans="7:12" x14ac:dyDescent="0.25">
      <c r="G73">
        <v>71</v>
      </c>
      <c r="H73">
        <v>0.93876592366808043</v>
      </c>
      <c r="I73">
        <v>0.87509794389141182</v>
      </c>
      <c r="J73">
        <f t="shared" si="5"/>
        <v>18.836552549693529</v>
      </c>
      <c r="K73">
        <f t="shared" si="3"/>
        <v>3.580725679154825</v>
      </c>
      <c r="L73">
        <f t="shared" si="4"/>
        <v>4347.7738326947101</v>
      </c>
    </row>
    <row r="74" spans="7:12" x14ac:dyDescent="0.25">
      <c r="G74">
        <v>72</v>
      </c>
      <c r="H74">
        <v>0.50457304829827843</v>
      </c>
      <c r="I74">
        <v>0.81796142740662636</v>
      </c>
      <c r="J74">
        <f t="shared" si="5"/>
        <v>10.586887917667291</v>
      </c>
      <c r="K74">
        <f t="shared" si="3"/>
        <v>2.8617036319377536</v>
      </c>
      <c r="L74">
        <f t="shared" si="4"/>
        <v>807.39268369270292</v>
      </c>
    </row>
    <row r="75" spans="7:12" x14ac:dyDescent="0.25">
      <c r="G75">
        <v>73</v>
      </c>
      <c r="H75">
        <v>0.22277153571574937</v>
      </c>
      <c r="I75">
        <v>0.17420235369156989</v>
      </c>
      <c r="J75">
        <f t="shared" si="5"/>
        <v>5.2326591785992385</v>
      </c>
      <c r="K75">
        <f t="shared" si="3"/>
        <v>1.9148653645494791</v>
      </c>
      <c r="L75">
        <f t="shared" si="4"/>
        <v>73.787187718676932</v>
      </c>
    </row>
    <row r="76" spans="7:12" x14ac:dyDescent="0.25">
      <c r="G76">
        <v>74</v>
      </c>
      <c r="H76">
        <v>0.29631252159123933</v>
      </c>
      <c r="I76">
        <v>0.94184436125740545</v>
      </c>
      <c r="J76">
        <f t="shared" si="5"/>
        <v>6.6299379102335472</v>
      </c>
      <c r="K76">
        <f t="shared" si="3"/>
        <v>2.2452395127083147</v>
      </c>
      <c r="L76">
        <f t="shared" si="4"/>
        <v>210.74721125023902</v>
      </c>
    </row>
    <row r="77" spans="7:12" x14ac:dyDescent="0.25">
      <c r="G77">
        <v>75</v>
      </c>
      <c r="H77">
        <v>0.43555536698595576</v>
      </c>
      <c r="I77">
        <v>0.95915401211560847</v>
      </c>
      <c r="J77">
        <f t="shared" si="5"/>
        <v>9.2755519727331599</v>
      </c>
      <c r="K77">
        <f t="shared" si="3"/>
        <v>2.6913551533721409</v>
      </c>
      <c r="L77">
        <f t="shared" si="4"/>
        <v>600.34757150002508</v>
      </c>
    </row>
    <row r="78" spans="7:12" x14ac:dyDescent="0.25">
      <c r="G78">
        <v>76</v>
      </c>
      <c r="H78">
        <v>0.50379356146519261</v>
      </c>
      <c r="I78">
        <v>0.93285395153738915</v>
      </c>
      <c r="J78">
        <f t="shared" si="5"/>
        <v>10.572077667838659</v>
      </c>
      <c r="K78">
        <f t="shared" si="3"/>
        <v>2.8599131355344145</v>
      </c>
      <c r="L78">
        <f t="shared" si="4"/>
        <v>860.56282269878659</v>
      </c>
    </row>
    <row r="79" spans="7:12" x14ac:dyDescent="0.25">
      <c r="G79">
        <v>77</v>
      </c>
      <c r="H79">
        <v>0.50629574861169435</v>
      </c>
      <c r="I79">
        <v>0.61101133642994854</v>
      </c>
      <c r="J79">
        <f t="shared" si="5"/>
        <v>10.619619223622193</v>
      </c>
      <c r="K79">
        <f t="shared" si="3"/>
        <v>2.8656509161835504</v>
      </c>
      <c r="L79">
        <f t="shared" si="4"/>
        <v>758.13877829429885</v>
      </c>
    </row>
    <row r="80" spans="7:12" x14ac:dyDescent="0.25">
      <c r="G80">
        <v>78</v>
      </c>
      <c r="H80">
        <v>0.93701211991402478</v>
      </c>
      <c r="I80">
        <v>0.22783409654961317</v>
      </c>
      <c r="J80">
        <f t="shared" si="5"/>
        <v>18.80323027836647</v>
      </c>
      <c r="K80">
        <f t="shared" si="3"/>
        <v>3.5785600568634166</v>
      </c>
      <c r="L80">
        <f t="shared" si="4"/>
        <v>3477.4438104493734</v>
      </c>
    </row>
    <row r="81" spans="7:12" x14ac:dyDescent="0.25">
      <c r="G81">
        <v>79</v>
      </c>
      <c r="H81">
        <v>0.76134928799312407</v>
      </c>
      <c r="I81">
        <v>0.37497284509465501</v>
      </c>
      <c r="J81">
        <f t="shared" si="5"/>
        <v>15.465636471869358</v>
      </c>
      <c r="K81">
        <f t="shared" si="3"/>
        <v>3.338130023683815</v>
      </c>
      <c r="L81">
        <f t="shared" si="4"/>
        <v>2099.87998864053</v>
      </c>
    </row>
    <row r="82" spans="7:12" x14ac:dyDescent="0.25">
      <c r="G82">
        <v>80</v>
      </c>
      <c r="H82">
        <v>0.23261140883134346</v>
      </c>
      <c r="I82">
        <v>0.55705825059976233</v>
      </c>
      <c r="J82">
        <f t="shared" si="5"/>
        <v>5.4196167677955254</v>
      </c>
      <c r="K82">
        <f t="shared" si="3"/>
        <v>1.9649221989347754</v>
      </c>
      <c r="L82">
        <f t="shared" si="4"/>
        <v>93.777347998930068</v>
      </c>
    </row>
    <row r="83" spans="7:12" x14ac:dyDescent="0.25">
      <c r="G83">
        <v>81</v>
      </c>
      <c r="H83">
        <v>0.54772072030309504</v>
      </c>
      <c r="I83">
        <v>0.97518053928473225</v>
      </c>
      <c r="J83">
        <f t="shared" si="5"/>
        <v>11.406693685758805</v>
      </c>
      <c r="K83">
        <f t="shared" si="3"/>
        <v>2.9567306228781156</v>
      </c>
      <c r="L83">
        <f t="shared" si="4"/>
        <v>1134.7070258263536</v>
      </c>
    </row>
    <row r="84" spans="7:12" x14ac:dyDescent="0.25">
      <c r="G84">
        <v>82</v>
      </c>
      <c r="H84">
        <v>0.30217665253979009</v>
      </c>
      <c r="I84">
        <v>0.94913368458248859</v>
      </c>
      <c r="J84">
        <f t="shared" si="5"/>
        <v>6.7413563982560119</v>
      </c>
      <c r="K84">
        <f t="shared" si="3"/>
        <v>2.2679352501539709</v>
      </c>
      <c r="L84">
        <f t="shared" si="4"/>
        <v>223.74885069722453</v>
      </c>
    </row>
    <row r="85" spans="7:12" x14ac:dyDescent="0.25">
      <c r="G85">
        <v>83</v>
      </c>
      <c r="H85">
        <v>0.89597889854945501</v>
      </c>
      <c r="I85">
        <v>0.40037320937295284</v>
      </c>
      <c r="J85">
        <f t="shared" si="5"/>
        <v>18.023599072439644</v>
      </c>
      <c r="K85">
        <f t="shared" si="3"/>
        <v>3.5267002521290833</v>
      </c>
      <c r="L85">
        <f t="shared" si="4"/>
        <v>3266.4889350417297</v>
      </c>
    </row>
    <row r="86" spans="7:12" x14ac:dyDescent="0.25">
      <c r="G86">
        <v>84</v>
      </c>
      <c r="H86">
        <v>7.4921975790551376E-2</v>
      </c>
      <c r="I86">
        <v>0.58238978687229148</v>
      </c>
      <c r="J86">
        <f t="shared" si="5"/>
        <v>2.4235175400204763</v>
      </c>
      <c r="K86">
        <f t="shared" si="3"/>
        <v>0.65286409260040901</v>
      </c>
      <c r="L86">
        <f t="shared" si="4"/>
        <v>4.6053711871965861</v>
      </c>
    </row>
    <row r="87" spans="7:12" x14ac:dyDescent="0.25">
      <c r="G87">
        <v>85</v>
      </c>
      <c r="H87">
        <v>0.16294270368689856</v>
      </c>
      <c r="I87">
        <v>0.31995440028974753</v>
      </c>
      <c r="J87">
        <f t="shared" si="5"/>
        <v>4.0959113700510725</v>
      </c>
      <c r="K87">
        <f t="shared" si="3"/>
        <v>1.552665949820921</v>
      </c>
      <c r="L87">
        <f t="shared" si="4"/>
        <v>33.827868530704343</v>
      </c>
    </row>
    <row r="88" spans="7:12" x14ac:dyDescent="0.25">
      <c r="G88">
        <v>86</v>
      </c>
      <c r="H88">
        <v>0.63020875107454899</v>
      </c>
      <c r="I88">
        <v>9.5830024429096605E-2</v>
      </c>
      <c r="J88">
        <f t="shared" si="5"/>
        <v>12.973966270416431</v>
      </c>
      <c r="K88">
        <f t="shared" si="3"/>
        <v>3.1191979798593232</v>
      </c>
      <c r="L88">
        <f t="shared" si="4"/>
        <v>1132.1755739069833</v>
      </c>
    </row>
    <row r="89" spans="7:12" x14ac:dyDescent="0.25">
      <c r="G89">
        <v>87</v>
      </c>
      <c r="H89">
        <v>0.94435851363743406</v>
      </c>
      <c r="I89">
        <v>0.66511338467833381</v>
      </c>
      <c r="J89">
        <f t="shared" si="5"/>
        <v>18.942811759111247</v>
      </c>
      <c r="K89">
        <f t="shared" si="3"/>
        <v>3.5876045677534014</v>
      </c>
      <c r="L89">
        <f t="shared" si="4"/>
        <v>4063.7551284140604</v>
      </c>
    </row>
    <row r="90" spans="7:12" x14ac:dyDescent="0.25">
      <c r="G90">
        <v>88</v>
      </c>
      <c r="H90">
        <v>0.85709825640796922</v>
      </c>
      <c r="I90">
        <v>0.99600739194318322</v>
      </c>
      <c r="J90">
        <f t="shared" si="5"/>
        <v>17.284866871751415</v>
      </c>
      <c r="K90">
        <f t="shared" si="3"/>
        <v>3.4753211322043374</v>
      </c>
      <c r="L90">
        <f t="shared" si="4"/>
        <v>4054.6730999508154</v>
      </c>
    </row>
    <row r="91" spans="7:12" x14ac:dyDescent="0.25">
      <c r="G91">
        <v>89</v>
      </c>
      <c r="H91">
        <v>0.22729170069698812</v>
      </c>
      <c r="I91">
        <v>0.79113315827038777</v>
      </c>
      <c r="J91">
        <f t="shared" si="5"/>
        <v>5.3185423132427747</v>
      </c>
      <c r="K91">
        <f t="shared" si="3"/>
        <v>1.9381290431808484</v>
      </c>
      <c r="L91">
        <f t="shared" si="4"/>
        <v>95.202205557597239</v>
      </c>
    </row>
    <row r="92" spans="7:12" x14ac:dyDescent="0.25">
      <c r="G92">
        <v>90</v>
      </c>
      <c r="H92">
        <v>0.14067367285836208</v>
      </c>
      <c r="I92">
        <v>0.37251335247239969</v>
      </c>
      <c r="J92">
        <f t="shared" si="5"/>
        <v>3.6727997843088795</v>
      </c>
      <c r="K92">
        <f t="shared" si="3"/>
        <v>1.3824737055663867</v>
      </c>
      <c r="L92">
        <f t="shared" si="4"/>
        <v>23.238789770027008</v>
      </c>
    </row>
    <row r="93" spans="7:12" x14ac:dyDescent="0.25">
      <c r="G93">
        <v>91</v>
      </c>
      <c r="H93">
        <v>0.5040133320479101</v>
      </c>
      <c r="I93">
        <v>0.84328573276333885</v>
      </c>
      <c r="J93">
        <f t="shared" si="5"/>
        <v>10.576253308910292</v>
      </c>
      <c r="K93">
        <f t="shared" si="3"/>
        <v>2.86041823310677</v>
      </c>
      <c r="L93">
        <f t="shared" si="4"/>
        <v>814.36843794822732</v>
      </c>
    </row>
    <row r="94" spans="7:12" x14ac:dyDescent="0.25">
      <c r="G94">
        <v>92</v>
      </c>
      <c r="H94">
        <v>0.40217921041116711</v>
      </c>
      <c r="I94">
        <v>0.22822747725575265</v>
      </c>
      <c r="J94">
        <f t="shared" si="5"/>
        <v>8.6414049978121739</v>
      </c>
      <c r="K94">
        <f t="shared" si="3"/>
        <v>2.5990251469208534</v>
      </c>
      <c r="L94">
        <f t="shared" si="4"/>
        <v>364.57786751704361</v>
      </c>
    </row>
    <row r="95" spans="7:12" x14ac:dyDescent="0.25">
      <c r="G95">
        <v>93</v>
      </c>
      <c r="H95">
        <v>0.69788785045845714</v>
      </c>
      <c r="I95">
        <v>0.33392546621002461</v>
      </c>
      <c r="J95">
        <f t="shared" si="5"/>
        <v>14.259869158710686</v>
      </c>
      <c r="K95">
        <f t="shared" si="3"/>
        <v>3.2373345352233072</v>
      </c>
      <c r="L95">
        <f t="shared" si="4"/>
        <v>1643.9157948580087</v>
      </c>
    </row>
    <row r="96" spans="7:12" x14ac:dyDescent="0.25">
      <c r="G96">
        <v>94</v>
      </c>
      <c r="H96">
        <v>2.447996218969295E-2</v>
      </c>
      <c r="I96">
        <v>0.28017831519582403</v>
      </c>
      <c r="J96">
        <f t="shared" si="5"/>
        <v>1.465119281604166</v>
      </c>
      <c r="K96">
        <f t="shared" si="3"/>
        <v>-0.64259851827875147</v>
      </c>
      <c r="L96">
        <f t="shared" si="4"/>
        <v>0.21295404222902622</v>
      </c>
    </row>
    <row r="97" spans="7:12" x14ac:dyDescent="0.25">
      <c r="G97">
        <v>95</v>
      </c>
      <c r="H97">
        <v>0.55029612983648746</v>
      </c>
      <c r="I97">
        <v>0.15348353662920489</v>
      </c>
      <c r="J97">
        <f t="shared" si="5"/>
        <v>11.455626466893262</v>
      </c>
      <c r="K97">
        <f t="shared" si="3"/>
        <v>2.9621633905079596</v>
      </c>
      <c r="L97">
        <f t="shared" si="4"/>
        <v>814.86010251352616</v>
      </c>
    </row>
    <row r="98" spans="7:12" x14ac:dyDescent="0.25">
      <c r="G98">
        <v>96</v>
      </c>
      <c r="H98">
        <v>0.43835963350991991</v>
      </c>
      <c r="I98">
        <v>0.1229976060938377</v>
      </c>
      <c r="J98">
        <f t="shared" si="5"/>
        <v>9.3288330366884775</v>
      </c>
      <c r="K98">
        <f t="shared" si="3"/>
        <v>2.6987876483343194</v>
      </c>
      <c r="L98">
        <f t="shared" si="4"/>
        <v>437.30159977472351</v>
      </c>
    </row>
    <row r="99" spans="7:12" x14ac:dyDescent="0.25">
      <c r="G99">
        <v>97</v>
      </c>
      <c r="H99">
        <v>9.3198500639711246E-2</v>
      </c>
      <c r="I99">
        <v>0.96630739703130075</v>
      </c>
      <c r="J99">
        <f t="shared" si="5"/>
        <v>2.7707715121545138</v>
      </c>
      <c r="K99">
        <f t="shared" si="3"/>
        <v>0.90566330271400031</v>
      </c>
      <c r="L99">
        <f t="shared" si="4"/>
        <v>9.9338617158348157</v>
      </c>
    </row>
    <row r="100" spans="7:12" x14ac:dyDescent="0.25">
      <c r="G100">
        <v>98</v>
      </c>
      <c r="H100">
        <v>0.33231760901836938</v>
      </c>
      <c r="I100">
        <v>0.70771737896001563</v>
      </c>
      <c r="J100">
        <f t="shared" si="5"/>
        <v>7.3140345713490182</v>
      </c>
      <c r="K100">
        <f t="shared" si="3"/>
        <v>2.3780484465799834</v>
      </c>
      <c r="L100">
        <f t="shared" si="4"/>
        <v>254.32255249124472</v>
      </c>
    </row>
    <row r="101" spans="7:12" x14ac:dyDescent="0.25">
      <c r="G101">
        <v>99</v>
      </c>
      <c r="H101">
        <v>0.2465398785396502</v>
      </c>
      <c r="I101">
        <v>0.96405488380398863</v>
      </c>
      <c r="J101">
        <f t="shared" si="5"/>
        <v>5.6842576922533539</v>
      </c>
      <c r="K101">
        <f t="shared" si="3"/>
        <v>2.0322719750483098</v>
      </c>
      <c r="L101">
        <f t="shared" si="4"/>
        <v>132.51425688669488</v>
      </c>
    </row>
    <row r="102" spans="7:12" x14ac:dyDescent="0.25">
      <c r="G102">
        <v>100</v>
      </c>
      <c r="H102">
        <v>0.9749131734073827</v>
      </c>
      <c r="I102">
        <v>0.92763473127227281</v>
      </c>
      <c r="J102">
        <f t="shared" si="5"/>
        <v>19.523350294740272</v>
      </c>
      <c r="K102">
        <f t="shared" si="3"/>
        <v>3.6244820046497477</v>
      </c>
      <c r="L102">
        <f t="shared" si="4"/>
        <v>4981.9798343645643</v>
      </c>
    </row>
    <row r="103" spans="7:12" x14ac:dyDescent="0.25">
      <c r="G103">
        <v>101</v>
      </c>
      <c r="H103">
        <v>0.83617022506468841</v>
      </c>
      <c r="I103">
        <v>0.79908414563036212</v>
      </c>
      <c r="J103">
        <f t="shared" si="5"/>
        <v>16.88723427622908</v>
      </c>
      <c r="K103">
        <f t="shared" si="3"/>
        <v>3.4466920314255467</v>
      </c>
      <c r="L103">
        <f t="shared" si="4"/>
        <v>3080.4186911143447</v>
      </c>
    </row>
    <row r="104" spans="7:12" x14ac:dyDescent="0.25">
      <c r="G104">
        <v>102</v>
      </c>
      <c r="H104">
        <v>0.6736482517746849</v>
      </c>
      <c r="I104">
        <v>0.58079323459138277</v>
      </c>
      <c r="J104">
        <f t="shared" si="5"/>
        <v>13.799316783719012</v>
      </c>
      <c r="K104">
        <f t="shared" si="3"/>
        <v>3.1963946667015382</v>
      </c>
      <c r="L104">
        <f t="shared" si="4"/>
        <v>1609.1288660693099</v>
      </c>
    </row>
    <row r="105" spans="7:12" x14ac:dyDescent="0.25">
      <c r="G105">
        <v>103</v>
      </c>
      <c r="H105">
        <v>0.19107072618927967</v>
      </c>
      <c r="I105">
        <v>0.90986412042322684</v>
      </c>
      <c r="J105">
        <f t="shared" si="5"/>
        <v>4.6303437975963142</v>
      </c>
      <c r="K105">
        <f t="shared" si="3"/>
        <v>1.7370905790893849</v>
      </c>
      <c r="L105">
        <f t="shared" si="4"/>
        <v>63.69223912756496</v>
      </c>
    </row>
    <row r="106" spans="7:12" x14ac:dyDescent="0.25">
      <c r="G106">
        <v>104</v>
      </c>
      <c r="H106">
        <v>0.86924625198987227</v>
      </c>
      <c r="I106">
        <v>0.74867389449785504</v>
      </c>
      <c r="J106">
        <f t="shared" si="5"/>
        <v>17.515678787807573</v>
      </c>
      <c r="K106">
        <f t="shared" si="3"/>
        <v>3.491620372609082</v>
      </c>
      <c r="L106">
        <f t="shared" si="4"/>
        <v>3350.7073542227113</v>
      </c>
    </row>
    <row r="107" spans="7:12" x14ac:dyDescent="0.25">
      <c r="G107">
        <v>105</v>
      </c>
      <c r="H107">
        <v>0.69227330499434947</v>
      </c>
      <c r="I107">
        <v>0.42472391994689107</v>
      </c>
      <c r="J107">
        <f t="shared" si="5"/>
        <v>14.153192794892639</v>
      </c>
      <c r="K107">
        <f t="shared" si="3"/>
        <v>3.2279797277389011</v>
      </c>
      <c r="L107">
        <f t="shared" si="4"/>
        <v>1653.8212893705413</v>
      </c>
    </row>
    <row r="108" spans="7:12" x14ac:dyDescent="0.25">
      <c r="G108">
        <v>106</v>
      </c>
      <c r="H108">
        <v>0.93451127007789514</v>
      </c>
      <c r="I108">
        <v>0.77920803668350336</v>
      </c>
      <c r="J108">
        <f t="shared" si="5"/>
        <v>18.755714131480008</v>
      </c>
      <c r="K108">
        <f t="shared" si="3"/>
        <v>3.5754649499612814</v>
      </c>
      <c r="L108">
        <f t="shared" si="4"/>
        <v>4110.9388159581868</v>
      </c>
    </row>
    <row r="109" spans="7:12" x14ac:dyDescent="0.25">
      <c r="G109">
        <v>107</v>
      </c>
      <c r="H109">
        <v>0.15985845197345805</v>
      </c>
      <c r="I109">
        <v>0.82022910187903852</v>
      </c>
      <c r="J109">
        <f t="shared" si="5"/>
        <v>4.0373105874957034</v>
      </c>
      <c r="K109">
        <f t="shared" si="3"/>
        <v>1.5305344427188627</v>
      </c>
      <c r="L109">
        <f t="shared" si="4"/>
        <v>37.700435727825017</v>
      </c>
    </row>
    <row r="110" spans="7:12" x14ac:dyDescent="0.25">
      <c r="G110">
        <v>108</v>
      </c>
      <c r="H110">
        <v>0.65861161358658105</v>
      </c>
      <c r="I110">
        <v>0.71157211994541758</v>
      </c>
      <c r="J110">
        <f t="shared" si="5"/>
        <v>13.51362065814504</v>
      </c>
      <c r="K110">
        <f t="shared" si="3"/>
        <v>3.1702511933466897</v>
      </c>
      <c r="L110">
        <f t="shared" si="4"/>
        <v>1578.1575610055761</v>
      </c>
    </row>
    <row r="111" spans="7:12" x14ac:dyDescent="0.25">
      <c r="G111">
        <v>109</v>
      </c>
      <c r="H111">
        <v>0.77427658387326337</v>
      </c>
      <c r="I111">
        <v>0.30809108006447283</v>
      </c>
      <c r="J111">
        <f t="shared" si="5"/>
        <v>15.711255093592005</v>
      </c>
      <c r="K111">
        <f t="shared" si="3"/>
        <v>3.3576291686151771</v>
      </c>
      <c r="L111">
        <f t="shared" si="4"/>
        <v>2150.6302138008737</v>
      </c>
    </row>
    <row r="112" spans="7:12" x14ac:dyDescent="0.25">
      <c r="G112">
        <v>110</v>
      </c>
      <c r="H112">
        <v>0.79829916704826576</v>
      </c>
      <c r="I112">
        <v>0.26781557983347826</v>
      </c>
      <c r="J112">
        <f t="shared" si="5"/>
        <v>16.167684173917049</v>
      </c>
      <c r="K112">
        <f t="shared" si="3"/>
        <v>3.3930146375521164</v>
      </c>
      <c r="L112">
        <f t="shared" si="4"/>
        <v>2301.6696361759514</v>
      </c>
    </row>
    <row r="113" spans="7:12" x14ac:dyDescent="0.25">
      <c r="G113">
        <v>111</v>
      </c>
      <c r="H113">
        <v>0.37648481292227409</v>
      </c>
      <c r="I113">
        <v>0.55215396735853817</v>
      </c>
      <c r="J113">
        <f t="shared" si="5"/>
        <v>8.1532114455232083</v>
      </c>
      <c r="K113">
        <f t="shared" si="3"/>
        <v>2.5225660660705596</v>
      </c>
      <c r="L113">
        <f t="shared" si="4"/>
        <v>338.15929351098407</v>
      </c>
    </row>
    <row r="114" spans="7:12" x14ac:dyDescent="0.25">
      <c r="G114">
        <v>112</v>
      </c>
      <c r="H114">
        <v>0.3465681256277775</v>
      </c>
      <c r="I114">
        <v>0.69501836109038262</v>
      </c>
      <c r="J114">
        <f t="shared" si="5"/>
        <v>7.5847943869277721</v>
      </c>
      <c r="K114">
        <f t="shared" si="3"/>
        <v>2.426675814611905</v>
      </c>
      <c r="L114">
        <f t="shared" si="4"/>
        <v>283.25795044296149</v>
      </c>
    </row>
    <row r="115" spans="7:12" x14ac:dyDescent="0.25">
      <c r="G115">
        <v>113</v>
      </c>
      <c r="H115">
        <v>0.62986133061238259</v>
      </c>
      <c r="I115">
        <v>0.85109462391657864</v>
      </c>
      <c r="J115">
        <f t="shared" si="5"/>
        <v>12.967365281635269</v>
      </c>
      <c r="K115">
        <f t="shared" si="3"/>
        <v>3.1185593580529742</v>
      </c>
      <c r="L115">
        <f t="shared" si="4"/>
        <v>1481.2089898289096</v>
      </c>
    </row>
    <row r="116" spans="7:12" x14ac:dyDescent="0.25">
      <c r="G116">
        <v>114</v>
      </c>
      <c r="H116">
        <v>0.41364337310726784</v>
      </c>
      <c r="I116">
        <v>0.27858291289149462</v>
      </c>
      <c r="J116">
        <f t="shared" si="5"/>
        <v>8.85922408903809</v>
      </c>
      <c r="K116">
        <f t="shared" si="3"/>
        <v>2.6315756904972085</v>
      </c>
      <c r="L116">
        <f t="shared" si="4"/>
        <v>400.15004520896866</v>
      </c>
    </row>
    <row r="117" spans="7:12" x14ac:dyDescent="0.25">
      <c r="G117">
        <v>115</v>
      </c>
      <c r="H117">
        <v>0.35583404967993648</v>
      </c>
      <c r="I117">
        <v>0.41966490706953707</v>
      </c>
      <c r="J117">
        <f t="shared" si="5"/>
        <v>7.7608469439187928</v>
      </c>
      <c r="K117">
        <f t="shared" si="3"/>
        <v>2.4572328432918269</v>
      </c>
      <c r="L117">
        <f t="shared" si="4"/>
        <v>279.95956061488192</v>
      </c>
    </row>
    <row r="118" spans="7:12" x14ac:dyDescent="0.25">
      <c r="G118">
        <v>116</v>
      </c>
      <c r="H118">
        <v>0.87782212764883194</v>
      </c>
      <c r="I118">
        <v>0.9767801988330479</v>
      </c>
      <c r="J118">
        <f t="shared" si="5"/>
        <v>17.678620425327807</v>
      </c>
      <c r="K118">
        <f t="shared" si="3"/>
        <v>3.5029902321499455</v>
      </c>
      <c r="L118">
        <f t="shared" si="4"/>
        <v>4004.5988240807942</v>
      </c>
    </row>
    <row r="119" spans="7:12" x14ac:dyDescent="0.25">
      <c r="G119">
        <v>117</v>
      </c>
      <c r="H119">
        <v>0.11329058942835857</v>
      </c>
      <c r="I119">
        <v>0.4952786483586854</v>
      </c>
      <c r="J119">
        <f t="shared" si="5"/>
        <v>3.1525211991388127</v>
      </c>
      <c r="K119">
        <f t="shared" si="3"/>
        <v>1.1317563981521006</v>
      </c>
      <c r="L119">
        <f t="shared" si="4"/>
        <v>13.525852610477367</v>
      </c>
    </row>
    <row r="120" spans="7:12" x14ac:dyDescent="0.25">
      <c r="G120">
        <v>118</v>
      </c>
      <c r="H120">
        <v>9.9073444523694598E-2</v>
      </c>
      <c r="I120">
        <v>0.15725376508392919</v>
      </c>
      <c r="J120">
        <f t="shared" si="5"/>
        <v>2.8823954459501975</v>
      </c>
      <c r="K120">
        <f t="shared" si="3"/>
        <v>0.97645886797777093</v>
      </c>
      <c r="L120">
        <f t="shared" si="4"/>
        <v>8.436618783902416</v>
      </c>
    </row>
    <row r="121" spans="7:12" x14ac:dyDescent="0.25">
      <c r="G121">
        <v>119</v>
      </c>
      <c r="H121">
        <v>0.96763382197045456</v>
      </c>
      <c r="I121">
        <v>9.9699880664083085E-2</v>
      </c>
      <c r="J121">
        <f t="shared" si="5"/>
        <v>19.385042617438636</v>
      </c>
      <c r="K121">
        <f t="shared" si="3"/>
        <v>3.6158022744704317</v>
      </c>
      <c r="L121">
        <f t="shared" si="4"/>
        <v>3561.5504240741743</v>
      </c>
    </row>
    <row r="122" spans="7:12" x14ac:dyDescent="0.25">
      <c r="G122">
        <v>120</v>
      </c>
      <c r="H122">
        <v>0.37818368318612816</v>
      </c>
      <c r="I122">
        <v>0.67372442407738609</v>
      </c>
      <c r="J122">
        <f t="shared" si="5"/>
        <v>8.1854899805364347</v>
      </c>
      <c r="K122">
        <f t="shared" si="3"/>
        <v>2.5277802670515706</v>
      </c>
      <c r="L122">
        <f t="shared" si="4"/>
        <v>355.05146842694654</v>
      </c>
    </row>
    <row r="123" spans="7:12" x14ac:dyDescent="0.25">
      <c r="G123">
        <v>121</v>
      </c>
      <c r="H123">
        <v>0.35835584658782127</v>
      </c>
      <c r="I123">
        <v>0.94540226194483956</v>
      </c>
      <c r="J123">
        <f t="shared" si="5"/>
        <v>7.8087610851686042</v>
      </c>
      <c r="K123">
        <f t="shared" si="3"/>
        <v>2.4654114862658392</v>
      </c>
      <c r="L123">
        <f t="shared" si="4"/>
        <v>351.15792440872156</v>
      </c>
    </row>
    <row r="124" spans="7:12" x14ac:dyDescent="0.25">
      <c r="G124">
        <v>122</v>
      </c>
      <c r="H124">
        <v>0.12556968372665933</v>
      </c>
      <c r="I124">
        <v>0.90824469375206551</v>
      </c>
      <c r="J124">
        <f t="shared" si="5"/>
        <v>3.3858239908065273</v>
      </c>
      <c r="K124">
        <f t="shared" si="3"/>
        <v>1.2509323022663876</v>
      </c>
      <c r="L124">
        <f t="shared" si="4"/>
        <v>20.769854996404774</v>
      </c>
    </row>
    <row r="125" spans="7:12" x14ac:dyDescent="0.25">
      <c r="G125">
        <v>123</v>
      </c>
      <c r="H125">
        <v>0.40449091934816817</v>
      </c>
      <c r="I125">
        <v>0.66525891815234639</v>
      </c>
      <c r="J125">
        <f t="shared" si="5"/>
        <v>8.6853274676151955</v>
      </c>
      <c r="K125">
        <f t="shared" si="3"/>
        <v>2.6056629047612878</v>
      </c>
      <c r="L125">
        <f t="shared" si="4"/>
        <v>423.64866830004621</v>
      </c>
    </row>
    <row r="126" spans="7:12" x14ac:dyDescent="0.25">
      <c r="G126">
        <v>124</v>
      </c>
      <c r="H126">
        <v>0.16904135866710346</v>
      </c>
      <c r="I126">
        <v>0.61419568860657137</v>
      </c>
      <c r="J126">
        <f t="shared" si="5"/>
        <v>4.2117858146749656</v>
      </c>
      <c r="K126">
        <f t="shared" si="3"/>
        <v>1.5952207670667671</v>
      </c>
      <c r="L126">
        <f t="shared" si="4"/>
        <v>40.713115444000969</v>
      </c>
    </row>
    <row r="127" spans="7:12" x14ac:dyDescent="0.25">
      <c r="G127">
        <v>125</v>
      </c>
      <c r="H127">
        <v>0.41470283295037746</v>
      </c>
      <c r="I127">
        <v>0.66216514272260796</v>
      </c>
      <c r="J127">
        <f t="shared" si="5"/>
        <v>8.8793538260571729</v>
      </c>
      <c r="K127">
        <f t="shared" si="3"/>
        <v>2.6345381736469928</v>
      </c>
      <c r="L127">
        <f t="shared" si="4"/>
        <v>452.33182605315091</v>
      </c>
    </row>
    <row r="128" spans="7:12" x14ac:dyDescent="0.25">
      <c r="G128">
        <v>126</v>
      </c>
      <c r="H128">
        <v>0.51451706838688527</v>
      </c>
      <c r="I128">
        <v>0.43208256428631631</v>
      </c>
      <c r="J128">
        <f t="shared" si="5"/>
        <v>10.77582429935082</v>
      </c>
      <c r="K128">
        <f t="shared" si="3"/>
        <v>2.884305598423643</v>
      </c>
      <c r="L128">
        <f t="shared" si="4"/>
        <v>751.19358368639564</v>
      </c>
    </row>
    <row r="129" spans="7:12" x14ac:dyDescent="0.25">
      <c r="G129">
        <v>127</v>
      </c>
      <c r="H129">
        <v>0.18984571434829889</v>
      </c>
      <c r="I129">
        <v>0.35621147609461257</v>
      </c>
      <c r="J129">
        <f t="shared" si="5"/>
        <v>4.6070685726176794</v>
      </c>
      <c r="K129">
        <f t="shared" si="3"/>
        <v>1.72964162829173</v>
      </c>
      <c r="L129">
        <f t="shared" si="4"/>
        <v>51.429396827937971</v>
      </c>
    </row>
    <row r="130" spans="7:12" x14ac:dyDescent="0.25">
      <c r="G130">
        <v>128</v>
      </c>
      <c r="H130">
        <v>2.8806458842701832E-2</v>
      </c>
      <c r="I130">
        <v>0.21895167301824692</v>
      </c>
      <c r="J130">
        <f t="shared" si="5"/>
        <v>1.5473227180113347</v>
      </c>
      <c r="K130">
        <f t="shared" si="3"/>
        <v>-0.45412083464024622</v>
      </c>
      <c r="L130">
        <f t="shared" si="4"/>
        <v>0.32143431290193192</v>
      </c>
    </row>
    <row r="131" spans="7:12" x14ac:dyDescent="0.25">
      <c r="G131">
        <v>129</v>
      </c>
      <c r="H131">
        <v>0.78720883368055028</v>
      </c>
      <c r="I131">
        <v>0.93438115815970813</v>
      </c>
      <c r="J131">
        <f t="shared" si="5"/>
        <v>15.956967839930455</v>
      </c>
      <c r="K131">
        <f t="shared" ref="K131:K194" si="6">$E$7+$D$8*LOG10(J131-$D$6)</f>
        <v>3.3768127249397857</v>
      </c>
      <c r="L131">
        <f t="shared" ref="L131:L194" si="7">10^(K131+_xlfn.NORM.INV(I131, 0, $D$10))</f>
        <v>2833.1833538180099</v>
      </c>
    </row>
    <row r="132" spans="7:12" x14ac:dyDescent="0.25">
      <c r="G132">
        <v>130</v>
      </c>
      <c r="H132">
        <v>0.39033059201522557</v>
      </c>
      <c r="I132">
        <v>0.63400463355751757</v>
      </c>
      <c r="J132">
        <f t="shared" ref="J132:J195" si="8">$D$6 + H132*(20-$D$6)</f>
        <v>8.4162812482892857</v>
      </c>
      <c r="K132">
        <f t="shared" si="6"/>
        <v>2.5643930753094049</v>
      </c>
      <c r="L132">
        <f t="shared" si="7"/>
        <v>381.51973361066638</v>
      </c>
    </row>
    <row r="133" spans="7:12" x14ac:dyDescent="0.25">
      <c r="G133">
        <v>131</v>
      </c>
      <c r="H133">
        <v>0.22525116629236774</v>
      </c>
      <c r="I133">
        <v>0.77231557015648866</v>
      </c>
      <c r="J133">
        <f t="shared" si="8"/>
        <v>5.2797721595549874</v>
      </c>
      <c r="K133">
        <f t="shared" si="6"/>
        <v>1.9276849634098234</v>
      </c>
      <c r="L133">
        <f t="shared" si="7"/>
        <v>92.259198966345821</v>
      </c>
    </row>
    <row r="134" spans="7:12" x14ac:dyDescent="0.25">
      <c r="G134">
        <v>132</v>
      </c>
      <c r="H134">
        <v>1.8651987701355788E-2</v>
      </c>
      <c r="I134">
        <v>0.98861106328102411</v>
      </c>
      <c r="J134">
        <f t="shared" si="8"/>
        <v>1.35438776632576</v>
      </c>
      <c r="K134">
        <f t="shared" si="6"/>
        <v>-0.95749351099479152</v>
      </c>
      <c r="L134">
        <f t="shared" si="7"/>
        <v>0.14333870727000894</v>
      </c>
    </row>
    <row r="135" spans="7:12" x14ac:dyDescent="0.25">
      <c r="G135">
        <v>133</v>
      </c>
      <c r="H135">
        <v>0.25803617127368206</v>
      </c>
      <c r="I135">
        <v>0.8421149066996152</v>
      </c>
      <c r="J135">
        <f t="shared" si="8"/>
        <v>5.9026872541999591</v>
      </c>
      <c r="K135">
        <f t="shared" si="6"/>
        <v>2.0850544058389611</v>
      </c>
      <c r="L135">
        <f t="shared" si="7"/>
        <v>136.525508653641</v>
      </c>
    </row>
    <row r="136" spans="7:12" x14ac:dyDescent="0.25">
      <c r="G136">
        <v>134</v>
      </c>
      <c r="H136">
        <v>0.83876102074762138</v>
      </c>
      <c r="I136">
        <v>0.29525536444752853</v>
      </c>
      <c r="J136">
        <f t="shared" si="8"/>
        <v>16.936459394204807</v>
      </c>
      <c r="K136">
        <f t="shared" si="6"/>
        <v>3.450274806679603</v>
      </c>
      <c r="L136">
        <f t="shared" si="7"/>
        <v>2650.7575278279232</v>
      </c>
    </row>
    <row r="137" spans="7:12" x14ac:dyDescent="0.25">
      <c r="G137">
        <v>135</v>
      </c>
      <c r="H137">
        <v>0.34504865399030604</v>
      </c>
      <c r="I137">
        <v>0.9005138212590702</v>
      </c>
      <c r="J137">
        <f t="shared" si="8"/>
        <v>7.5559244258158147</v>
      </c>
      <c r="K137">
        <f t="shared" si="6"/>
        <v>2.4215870681366338</v>
      </c>
      <c r="L137">
        <f t="shared" si="7"/>
        <v>306.06333849439841</v>
      </c>
    </row>
    <row r="138" spans="7:12" x14ac:dyDescent="0.25">
      <c r="G138">
        <v>136</v>
      </c>
      <c r="H138">
        <v>0.74431451509043101</v>
      </c>
      <c r="I138">
        <v>0.68473198176010719</v>
      </c>
      <c r="J138">
        <f t="shared" si="8"/>
        <v>15.14197578671819</v>
      </c>
      <c r="K138">
        <f t="shared" si="6"/>
        <v>3.3119234702201612</v>
      </c>
      <c r="L138">
        <f t="shared" si="7"/>
        <v>2167.5648300720504</v>
      </c>
    </row>
    <row r="139" spans="7:12" x14ac:dyDescent="0.25">
      <c r="G139">
        <v>137</v>
      </c>
      <c r="H139">
        <v>6.7645637947351456E-2</v>
      </c>
      <c r="I139">
        <v>0.83291362220949783</v>
      </c>
      <c r="J139">
        <f t="shared" si="8"/>
        <v>2.2852671209996775</v>
      </c>
      <c r="K139">
        <f t="shared" si="6"/>
        <v>0.53454562614376933</v>
      </c>
      <c r="L139">
        <f t="shared" si="7"/>
        <v>3.8267736975743194</v>
      </c>
    </row>
    <row r="140" spans="7:12" x14ac:dyDescent="0.25">
      <c r="G140">
        <v>138</v>
      </c>
      <c r="H140">
        <v>0.59642747881362446</v>
      </c>
      <c r="I140">
        <v>0.26918936435943286</v>
      </c>
      <c r="J140">
        <f t="shared" si="8"/>
        <v>12.332122097458864</v>
      </c>
      <c r="K140">
        <f t="shared" si="6"/>
        <v>3.0553932191065623</v>
      </c>
      <c r="L140">
        <f t="shared" si="7"/>
        <v>1058.3514117777074</v>
      </c>
    </row>
    <row r="141" spans="7:12" x14ac:dyDescent="0.25">
      <c r="G141">
        <v>139</v>
      </c>
      <c r="H141">
        <v>0.32993352383786578</v>
      </c>
      <c r="I141">
        <v>0.40428650059398274</v>
      </c>
      <c r="J141">
        <f t="shared" si="8"/>
        <v>7.2687369529194497</v>
      </c>
      <c r="K141">
        <f t="shared" si="6"/>
        <v>2.3697100226012742</v>
      </c>
      <c r="L141">
        <f t="shared" si="7"/>
        <v>227.82252160973277</v>
      </c>
    </row>
    <row r="142" spans="7:12" x14ac:dyDescent="0.25">
      <c r="G142">
        <v>140</v>
      </c>
      <c r="H142">
        <v>0.57101533181710284</v>
      </c>
      <c r="I142">
        <v>5.4311561675359332E-2</v>
      </c>
      <c r="J142">
        <f t="shared" si="8"/>
        <v>11.849291304524954</v>
      </c>
      <c r="K142">
        <f t="shared" si="6"/>
        <v>3.0049668858893255</v>
      </c>
      <c r="L142">
        <f t="shared" si="7"/>
        <v>840.90368014142541</v>
      </c>
    </row>
    <row r="143" spans="7:12" x14ac:dyDescent="0.25">
      <c r="G143">
        <v>141</v>
      </c>
      <c r="H143">
        <v>0.84607289713336131</v>
      </c>
      <c r="I143">
        <v>0.99387730564612065</v>
      </c>
      <c r="J143">
        <f t="shared" si="8"/>
        <v>17.075385045533864</v>
      </c>
      <c r="K143">
        <f t="shared" si="6"/>
        <v>3.4603269230940477</v>
      </c>
      <c r="L143">
        <f t="shared" si="7"/>
        <v>3851.0269949429285</v>
      </c>
    </row>
    <row r="144" spans="7:12" x14ac:dyDescent="0.25">
      <c r="G144">
        <v>142</v>
      </c>
      <c r="H144">
        <v>0.92436905168972994</v>
      </c>
      <c r="I144">
        <v>0.67224452969612203</v>
      </c>
      <c r="J144">
        <f t="shared" si="8"/>
        <v>18.563011982104868</v>
      </c>
      <c r="K144">
        <f t="shared" si="6"/>
        <v>3.5628272256645608</v>
      </c>
      <c r="L144">
        <f t="shared" si="7"/>
        <v>3847.0975590186044</v>
      </c>
    </row>
    <row r="145" spans="7:12" x14ac:dyDescent="0.25">
      <c r="G145">
        <v>143</v>
      </c>
      <c r="H145">
        <v>0.97525574055592568</v>
      </c>
      <c r="I145">
        <v>0.79537042795288104</v>
      </c>
      <c r="J145">
        <f t="shared" si="8"/>
        <v>19.529859070562587</v>
      </c>
      <c r="K145">
        <f t="shared" si="6"/>
        <v>3.6248888754536277</v>
      </c>
      <c r="L145">
        <f t="shared" si="7"/>
        <v>4636.0571327908228</v>
      </c>
    </row>
    <row r="146" spans="7:12" x14ac:dyDescent="0.25">
      <c r="G146">
        <v>144</v>
      </c>
      <c r="H146">
        <v>0.95997674559381696</v>
      </c>
      <c r="I146">
        <v>0.77809915964507537</v>
      </c>
      <c r="J146">
        <f t="shared" si="8"/>
        <v>19.239558166282521</v>
      </c>
      <c r="K146">
        <f t="shared" si="6"/>
        <v>3.6066014021505195</v>
      </c>
      <c r="L146">
        <f t="shared" si="7"/>
        <v>4414.5950018341709</v>
      </c>
    </row>
    <row r="147" spans="7:12" x14ac:dyDescent="0.25">
      <c r="G147">
        <v>145</v>
      </c>
      <c r="H147">
        <v>0.67976792924824481</v>
      </c>
      <c r="I147">
        <v>0.2954386964180532</v>
      </c>
      <c r="J147">
        <f t="shared" si="8"/>
        <v>13.915590655716651</v>
      </c>
      <c r="K147">
        <f t="shared" si="6"/>
        <v>3.2068679576545982</v>
      </c>
      <c r="L147">
        <f t="shared" si="7"/>
        <v>1513.5253774279599</v>
      </c>
    </row>
    <row r="148" spans="7:12" x14ac:dyDescent="0.25">
      <c r="G148">
        <v>146</v>
      </c>
      <c r="H148">
        <v>0.9210926370196828</v>
      </c>
      <c r="I148">
        <v>0.64182198604154317</v>
      </c>
      <c r="J148">
        <f t="shared" si="8"/>
        <v>18.500760103373974</v>
      </c>
      <c r="K148">
        <f t="shared" si="6"/>
        <v>3.5587149963606697</v>
      </c>
      <c r="L148">
        <f t="shared" si="7"/>
        <v>3774.6931602782865</v>
      </c>
    </row>
    <row r="149" spans="7:12" x14ac:dyDescent="0.25">
      <c r="G149">
        <v>147</v>
      </c>
      <c r="H149">
        <v>0.44671637165799161</v>
      </c>
      <c r="I149">
        <v>0.62396337420481829</v>
      </c>
      <c r="J149">
        <f t="shared" si="8"/>
        <v>9.4876110615018412</v>
      </c>
      <c r="K149">
        <f t="shared" si="6"/>
        <v>2.7206578190137316</v>
      </c>
      <c r="L149">
        <f t="shared" si="7"/>
        <v>545.07110358094576</v>
      </c>
    </row>
    <row r="150" spans="7:12" x14ac:dyDescent="0.25">
      <c r="G150">
        <v>148</v>
      </c>
      <c r="H150">
        <v>0.79412566379906613</v>
      </c>
      <c r="I150">
        <v>0.38505775556875554</v>
      </c>
      <c r="J150">
        <f t="shared" si="8"/>
        <v>16.088387612182256</v>
      </c>
      <c r="K150">
        <f t="shared" si="6"/>
        <v>3.3869441181907591</v>
      </c>
      <c r="L150">
        <f t="shared" si="7"/>
        <v>2356.8553446203305</v>
      </c>
    </row>
    <row r="151" spans="7:12" x14ac:dyDescent="0.25">
      <c r="G151">
        <v>149</v>
      </c>
      <c r="H151">
        <v>0.5339659373431217</v>
      </c>
      <c r="I151">
        <v>0.36737799464150556</v>
      </c>
      <c r="J151">
        <f t="shared" si="8"/>
        <v>11.145352809519313</v>
      </c>
      <c r="K151">
        <f t="shared" si="6"/>
        <v>2.9272756438281213</v>
      </c>
      <c r="L151">
        <f t="shared" si="7"/>
        <v>813.45840534532306</v>
      </c>
    </row>
    <row r="152" spans="7:12" x14ac:dyDescent="0.25">
      <c r="G152">
        <v>150</v>
      </c>
      <c r="H152">
        <v>0.58233446033538594</v>
      </c>
      <c r="I152">
        <v>7.9285432218070273E-3</v>
      </c>
      <c r="J152">
        <f t="shared" si="8"/>
        <v>12.064354746372333</v>
      </c>
      <c r="K152">
        <f t="shared" si="6"/>
        <v>3.0276994765836522</v>
      </c>
      <c r="L152">
        <f t="shared" si="7"/>
        <v>807.40244073349618</v>
      </c>
    </row>
    <row r="153" spans="7:12" x14ac:dyDescent="0.25">
      <c r="G153">
        <v>151</v>
      </c>
      <c r="H153">
        <v>0.94644775753383337</v>
      </c>
      <c r="I153">
        <v>0.54349997276045703</v>
      </c>
      <c r="J153">
        <f t="shared" si="8"/>
        <v>18.982507393142836</v>
      </c>
      <c r="K153">
        <f t="shared" si="6"/>
        <v>3.5901638920759522</v>
      </c>
      <c r="L153">
        <f t="shared" si="7"/>
        <v>3941.1834791470651</v>
      </c>
    </row>
    <row r="154" spans="7:12" x14ac:dyDescent="0.25">
      <c r="G154">
        <v>152</v>
      </c>
      <c r="H154">
        <v>0.59338579255128465</v>
      </c>
      <c r="I154">
        <v>0.6913880809056786</v>
      </c>
      <c r="J154">
        <f t="shared" si="8"/>
        <v>12.274330058474408</v>
      </c>
      <c r="K154">
        <f t="shared" si="6"/>
        <v>3.0494718846408855</v>
      </c>
      <c r="L154">
        <f t="shared" si="7"/>
        <v>1187.0289796237134</v>
      </c>
    </row>
    <row r="155" spans="7:12" x14ac:dyDescent="0.25">
      <c r="G155">
        <v>153</v>
      </c>
      <c r="H155">
        <v>0.47563207423642506</v>
      </c>
      <c r="I155">
        <v>0.65348822768549675</v>
      </c>
      <c r="J155">
        <f t="shared" si="8"/>
        <v>10.037009410492075</v>
      </c>
      <c r="K155">
        <f t="shared" si="6"/>
        <v>2.7932958574086237</v>
      </c>
      <c r="L155">
        <f t="shared" si="7"/>
        <v>650.1800184508844</v>
      </c>
    </row>
    <row r="156" spans="7:12" x14ac:dyDescent="0.25">
      <c r="G156">
        <v>154</v>
      </c>
      <c r="H156">
        <v>0.82150935374891942</v>
      </c>
      <c r="I156">
        <v>0.60822949963277284</v>
      </c>
      <c r="J156">
        <f t="shared" si="8"/>
        <v>16.608677721229469</v>
      </c>
      <c r="K156">
        <f t="shared" si="6"/>
        <v>3.4262062017499928</v>
      </c>
      <c r="L156">
        <f t="shared" si="7"/>
        <v>2753.8582037498732</v>
      </c>
    </row>
    <row r="157" spans="7:12" x14ac:dyDescent="0.25">
      <c r="G157">
        <v>155</v>
      </c>
      <c r="H157">
        <v>0.67967281858819772</v>
      </c>
      <c r="I157">
        <v>0.53720516248284511</v>
      </c>
      <c r="J157">
        <f t="shared" si="8"/>
        <v>13.913783553175756</v>
      </c>
      <c r="K157">
        <f t="shared" si="6"/>
        <v>3.2067059065662153</v>
      </c>
      <c r="L157">
        <f t="shared" si="7"/>
        <v>1626.9554538081734</v>
      </c>
    </row>
    <row r="158" spans="7:12" x14ac:dyDescent="0.25">
      <c r="G158">
        <v>156</v>
      </c>
      <c r="H158">
        <v>0.30939690389954255</v>
      </c>
      <c r="I158">
        <v>0.54830627943534904</v>
      </c>
      <c r="J158">
        <f t="shared" si="8"/>
        <v>6.8785411740913087</v>
      </c>
      <c r="K158">
        <f t="shared" si="6"/>
        <v>2.2952820704147583</v>
      </c>
      <c r="L158">
        <f t="shared" si="7"/>
        <v>200.147991174601</v>
      </c>
    </row>
    <row r="159" spans="7:12" x14ac:dyDescent="0.25">
      <c r="G159">
        <v>157</v>
      </c>
      <c r="H159">
        <v>0.9447840072702044</v>
      </c>
      <c r="I159">
        <v>9.2943435391395823E-2</v>
      </c>
      <c r="J159">
        <f t="shared" si="8"/>
        <v>18.950896138133885</v>
      </c>
      <c r="K159">
        <f t="shared" si="6"/>
        <v>3.5881262564042089</v>
      </c>
      <c r="L159">
        <f t="shared" si="7"/>
        <v>3326.4729610949498</v>
      </c>
    </row>
    <row r="160" spans="7:12" x14ac:dyDescent="0.25">
      <c r="G160">
        <v>158</v>
      </c>
      <c r="H160">
        <v>0.35669388364170485</v>
      </c>
      <c r="I160">
        <v>0.91192735940746106</v>
      </c>
      <c r="J160">
        <f t="shared" si="8"/>
        <v>7.7771837891923923</v>
      </c>
      <c r="K160">
        <f t="shared" si="6"/>
        <v>2.4600279342816878</v>
      </c>
      <c r="L160">
        <f t="shared" si="7"/>
        <v>337.02638780897922</v>
      </c>
    </row>
    <row r="161" spans="7:12" x14ac:dyDescent="0.25">
      <c r="G161">
        <v>159</v>
      </c>
      <c r="H161">
        <v>7.9933568247070874E-2</v>
      </c>
      <c r="I161">
        <v>0.27510519007576095</v>
      </c>
      <c r="J161">
        <f t="shared" si="8"/>
        <v>2.5187377966943467</v>
      </c>
      <c r="K161">
        <f t="shared" si="6"/>
        <v>0.72785070222332082</v>
      </c>
      <c r="L161">
        <f t="shared" si="7"/>
        <v>4.9885974104186088</v>
      </c>
    </row>
    <row r="162" spans="7:12" x14ac:dyDescent="0.25">
      <c r="G162">
        <v>160</v>
      </c>
      <c r="H162">
        <v>0.48619221784048194</v>
      </c>
      <c r="I162">
        <v>0.50876684027786512</v>
      </c>
      <c r="J162">
        <f t="shared" si="8"/>
        <v>10.237652138969157</v>
      </c>
      <c r="K162">
        <f t="shared" si="6"/>
        <v>2.8187275094759943</v>
      </c>
      <c r="L162">
        <f t="shared" si="7"/>
        <v>660.42933935891961</v>
      </c>
    </row>
    <row r="163" spans="7:12" x14ac:dyDescent="0.25">
      <c r="G163">
        <v>161</v>
      </c>
      <c r="H163">
        <v>0.11024044472026961</v>
      </c>
      <c r="I163">
        <v>0.68676114790286102</v>
      </c>
      <c r="J163">
        <f t="shared" si="8"/>
        <v>3.0945684496851227</v>
      </c>
      <c r="K163">
        <f t="shared" si="6"/>
        <v>1.1001487186900114</v>
      </c>
      <c r="L163">
        <f t="shared" si="7"/>
        <v>13.319356459220192</v>
      </c>
    </row>
    <row r="164" spans="7:12" x14ac:dyDescent="0.25">
      <c r="G164">
        <v>162</v>
      </c>
      <c r="H164">
        <v>0.14566473141826308</v>
      </c>
      <c r="I164">
        <v>0.8373812022588526</v>
      </c>
      <c r="J164">
        <f t="shared" si="8"/>
        <v>3.7676298969469988</v>
      </c>
      <c r="K164">
        <f t="shared" si="6"/>
        <v>1.4228512676489597</v>
      </c>
      <c r="L164">
        <f t="shared" si="7"/>
        <v>29.65096651843027</v>
      </c>
    </row>
    <row r="165" spans="7:12" x14ac:dyDescent="0.25">
      <c r="G165">
        <v>163</v>
      </c>
      <c r="H165">
        <v>0.52086681965991033</v>
      </c>
      <c r="I165">
        <v>0.21447532111748202</v>
      </c>
      <c r="J165">
        <f t="shared" si="8"/>
        <v>10.896469573538296</v>
      </c>
      <c r="K165">
        <f t="shared" si="6"/>
        <v>2.8985106820680442</v>
      </c>
      <c r="L165">
        <f t="shared" si="7"/>
        <v>722.70532041668241</v>
      </c>
    </row>
    <row r="166" spans="7:12" x14ac:dyDescent="0.25">
      <c r="G166">
        <v>164</v>
      </c>
      <c r="H166">
        <v>0.1908912421744724</v>
      </c>
      <c r="I166">
        <v>0.53416154724457909</v>
      </c>
      <c r="J166">
        <f t="shared" si="8"/>
        <v>4.6269336013149758</v>
      </c>
      <c r="K166">
        <f t="shared" si="6"/>
        <v>1.7360021786109567</v>
      </c>
      <c r="L166">
        <f t="shared" si="7"/>
        <v>54.990660932430366</v>
      </c>
    </row>
    <row r="167" spans="7:12" x14ac:dyDescent="0.25">
      <c r="G167">
        <v>165</v>
      </c>
      <c r="H167">
        <v>0.40838386261751269</v>
      </c>
      <c r="I167">
        <v>0.74706740314132247</v>
      </c>
      <c r="J167">
        <f t="shared" si="8"/>
        <v>8.7592933897327416</v>
      </c>
      <c r="K167">
        <f t="shared" si="6"/>
        <v>2.6167556945718347</v>
      </c>
      <c r="L167">
        <f t="shared" si="7"/>
        <v>446.7043497590156</v>
      </c>
    </row>
    <row r="168" spans="7:12" x14ac:dyDescent="0.25">
      <c r="G168">
        <v>166</v>
      </c>
      <c r="H168">
        <v>0.80451566612721614</v>
      </c>
      <c r="I168">
        <v>0.2258922036034624</v>
      </c>
      <c r="J168">
        <f t="shared" si="8"/>
        <v>16.285797656417106</v>
      </c>
      <c r="K168">
        <f t="shared" si="6"/>
        <v>3.4019981823454239</v>
      </c>
      <c r="L168">
        <f t="shared" si="7"/>
        <v>2314.0674223214346</v>
      </c>
    </row>
    <row r="169" spans="7:12" x14ac:dyDescent="0.25">
      <c r="G169">
        <v>167</v>
      </c>
      <c r="H169">
        <v>0.42417801198835892</v>
      </c>
      <c r="I169">
        <v>0.16035671333574153</v>
      </c>
      <c r="J169">
        <f t="shared" si="8"/>
        <v>9.0593822277788192</v>
      </c>
      <c r="K169">
        <f t="shared" si="6"/>
        <v>2.660701240811965</v>
      </c>
      <c r="L169">
        <f t="shared" si="7"/>
        <v>408.36790025969958</v>
      </c>
    </row>
    <row r="170" spans="7:12" x14ac:dyDescent="0.25">
      <c r="G170">
        <v>168</v>
      </c>
      <c r="H170">
        <v>0.80944351169853623</v>
      </c>
      <c r="I170">
        <v>0.59180173055198138</v>
      </c>
      <c r="J170">
        <f t="shared" si="8"/>
        <v>16.379426722272189</v>
      </c>
      <c r="K170">
        <f t="shared" si="6"/>
        <v>3.4090702911295336</v>
      </c>
      <c r="L170">
        <f t="shared" si="7"/>
        <v>2634.385933596428</v>
      </c>
    </row>
    <row r="171" spans="7:12" x14ac:dyDescent="0.25">
      <c r="G171">
        <v>169</v>
      </c>
      <c r="H171">
        <v>0.91047739500586489</v>
      </c>
      <c r="I171">
        <v>0.23389911669134289</v>
      </c>
      <c r="J171">
        <f t="shared" si="8"/>
        <v>18.299070505111434</v>
      </c>
      <c r="K171">
        <f t="shared" si="6"/>
        <v>3.5452906152533532</v>
      </c>
      <c r="L171">
        <f t="shared" si="7"/>
        <v>3228.399779079783</v>
      </c>
    </row>
    <row r="172" spans="7:12" x14ac:dyDescent="0.25">
      <c r="G172">
        <v>170</v>
      </c>
      <c r="H172">
        <v>0.9289620521740396</v>
      </c>
      <c r="I172">
        <v>5.11438496807054E-2</v>
      </c>
      <c r="J172">
        <f t="shared" si="8"/>
        <v>18.650278991306752</v>
      </c>
      <c r="K172">
        <f t="shared" si="6"/>
        <v>3.5685674306974042</v>
      </c>
      <c r="L172">
        <f t="shared" si="7"/>
        <v>3068.1338312906178</v>
      </c>
    </row>
    <row r="173" spans="7:12" x14ac:dyDescent="0.25">
      <c r="G173">
        <v>171</v>
      </c>
      <c r="H173">
        <v>0.47048324915292494</v>
      </c>
      <c r="I173">
        <v>0.66098188403073244</v>
      </c>
      <c r="J173">
        <f t="shared" si="8"/>
        <v>9.9391817339055741</v>
      </c>
      <c r="K173">
        <f t="shared" si="6"/>
        <v>2.78069060958684</v>
      </c>
      <c r="L173">
        <f t="shared" si="7"/>
        <v>633.06430576376113</v>
      </c>
    </row>
    <row r="174" spans="7:12" x14ac:dyDescent="0.25">
      <c r="G174">
        <v>172</v>
      </c>
      <c r="H174">
        <v>0.38752033628387439</v>
      </c>
      <c r="I174">
        <v>0.40734012238450923</v>
      </c>
      <c r="J174">
        <f t="shared" si="8"/>
        <v>8.3628863893936138</v>
      </c>
      <c r="K174">
        <f t="shared" si="6"/>
        <v>2.5560248301171566</v>
      </c>
      <c r="L174">
        <f t="shared" si="7"/>
        <v>350.19117932945852</v>
      </c>
    </row>
    <row r="175" spans="7:12" x14ac:dyDescent="0.25">
      <c r="G175">
        <v>173</v>
      </c>
      <c r="H175">
        <v>0.90989009692601475</v>
      </c>
      <c r="I175">
        <v>0.60769816175872182</v>
      </c>
      <c r="J175">
        <f t="shared" si="8"/>
        <v>18.28791184159428</v>
      </c>
      <c r="K175">
        <f t="shared" si="6"/>
        <v>3.5445433366214907</v>
      </c>
      <c r="L175">
        <f t="shared" si="7"/>
        <v>3615.8430288804971</v>
      </c>
    </row>
    <row r="176" spans="7:12" x14ac:dyDescent="0.25">
      <c r="G176">
        <v>174</v>
      </c>
      <c r="H176">
        <v>0.49954438271798229</v>
      </c>
      <c r="I176">
        <v>0.84503048737247033</v>
      </c>
      <c r="J176">
        <f t="shared" si="8"/>
        <v>10.491343271641664</v>
      </c>
      <c r="K176">
        <f t="shared" si="6"/>
        <v>2.8501037139539975</v>
      </c>
      <c r="L176">
        <f t="shared" si="7"/>
        <v>795.92329029606435</v>
      </c>
    </row>
    <row r="177" spans="7:12" x14ac:dyDescent="0.25">
      <c r="G177">
        <v>175</v>
      </c>
      <c r="H177">
        <v>0.74211211889614059</v>
      </c>
      <c r="I177">
        <v>0.69621461738901524</v>
      </c>
      <c r="J177">
        <f t="shared" si="8"/>
        <v>15.10013025902667</v>
      </c>
      <c r="K177">
        <f t="shared" si="6"/>
        <v>3.308491564674449</v>
      </c>
      <c r="L177">
        <f t="shared" si="7"/>
        <v>2158.5830876228729</v>
      </c>
    </row>
    <row r="178" spans="7:12" x14ac:dyDescent="0.25">
      <c r="G178">
        <v>176</v>
      </c>
      <c r="H178">
        <v>0.32951584982834681</v>
      </c>
      <c r="I178">
        <v>0.28429671094111642</v>
      </c>
      <c r="J178">
        <f t="shared" si="8"/>
        <v>7.2608011467385891</v>
      </c>
      <c r="K178">
        <f t="shared" si="6"/>
        <v>2.3682429922852339</v>
      </c>
      <c r="L178">
        <f t="shared" si="7"/>
        <v>218.64360494170785</v>
      </c>
    </row>
    <row r="179" spans="7:12" x14ac:dyDescent="0.25">
      <c r="G179">
        <v>177</v>
      </c>
      <c r="H179">
        <v>0.664512735569595</v>
      </c>
      <c r="I179">
        <v>0.49094861374729259</v>
      </c>
      <c r="J179">
        <f t="shared" si="8"/>
        <v>13.625741975822304</v>
      </c>
      <c r="K179">
        <f t="shared" si="6"/>
        <v>3.1805816578372279</v>
      </c>
      <c r="L179">
        <f t="shared" si="7"/>
        <v>1511.6356911058563</v>
      </c>
    </row>
    <row r="180" spans="7:12" x14ac:dyDescent="0.25">
      <c r="G180">
        <v>178</v>
      </c>
      <c r="H180">
        <v>0.33463657718546924</v>
      </c>
      <c r="I180">
        <v>0.40767826378493455</v>
      </c>
      <c r="J180">
        <f t="shared" si="8"/>
        <v>7.3580949665239155</v>
      </c>
      <c r="K180">
        <f t="shared" si="6"/>
        <v>2.386101926377731</v>
      </c>
      <c r="L180">
        <f t="shared" si="7"/>
        <v>236.82407771671947</v>
      </c>
    </row>
    <row r="181" spans="7:12" x14ac:dyDescent="0.25">
      <c r="G181">
        <v>179</v>
      </c>
      <c r="H181">
        <v>0.14581894780041738</v>
      </c>
      <c r="I181">
        <v>0.54084973686386439</v>
      </c>
      <c r="J181">
        <f t="shared" si="8"/>
        <v>3.77056000820793</v>
      </c>
      <c r="K181">
        <f t="shared" si="6"/>
        <v>1.4240767282344706</v>
      </c>
      <c r="L181">
        <f t="shared" si="7"/>
        <v>26.866151723703968</v>
      </c>
    </row>
    <row r="182" spans="7:12" x14ac:dyDescent="0.25">
      <c r="G182">
        <v>180</v>
      </c>
      <c r="H182">
        <v>0.76582761703372204</v>
      </c>
      <c r="I182">
        <v>0.5384347324590959</v>
      </c>
      <c r="J182">
        <f t="shared" si="8"/>
        <v>15.55072472364072</v>
      </c>
      <c r="K182">
        <f t="shared" si="6"/>
        <v>3.344922231044364</v>
      </c>
      <c r="L182">
        <f t="shared" si="7"/>
        <v>2237.4162423687962</v>
      </c>
    </row>
    <row r="183" spans="7:12" x14ac:dyDescent="0.25">
      <c r="G183">
        <v>181</v>
      </c>
      <c r="H183">
        <v>0.43582209743085132</v>
      </c>
      <c r="I183">
        <v>0.78112862210658851</v>
      </c>
      <c r="J183">
        <f t="shared" si="8"/>
        <v>9.2806198511861755</v>
      </c>
      <c r="K183">
        <f t="shared" si="6"/>
        <v>2.6920641584051888</v>
      </c>
      <c r="L183">
        <f t="shared" si="7"/>
        <v>538.10209882651122</v>
      </c>
    </row>
    <row r="184" spans="7:12" x14ac:dyDescent="0.25">
      <c r="G184">
        <v>182</v>
      </c>
      <c r="H184">
        <v>0.4269782011536758</v>
      </c>
      <c r="I184">
        <v>0.21417941978413202</v>
      </c>
      <c r="J184">
        <f t="shared" si="8"/>
        <v>9.1125858219198399</v>
      </c>
      <c r="K184">
        <f t="shared" si="6"/>
        <v>2.6683213764748208</v>
      </c>
      <c r="L184">
        <f t="shared" si="7"/>
        <v>425.32530193406245</v>
      </c>
    </row>
    <row r="185" spans="7:12" x14ac:dyDescent="0.25">
      <c r="G185">
        <v>183</v>
      </c>
      <c r="H185">
        <v>0.92825144666162251</v>
      </c>
      <c r="I185">
        <v>0.97214459876968784</v>
      </c>
      <c r="J185">
        <f t="shared" si="8"/>
        <v>18.636777486570828</v>
      </c>
      <c r="K185">
        <f t="shared" si="6"/>
        <v>3.5676811938539288</v>
      </c>
      <c r="L185">
        <f t="shared" si="7"/>
        <v>4606.2313468657267</v>
      </c>
    </row>
    <row r="186" spans="7:12" x14ac:dyDescent="0.25">
      <c r="G186">
        <v>184</v>
      </c>
      <c r="H186">
        <v>0.40209748958394798</v>
      </c>
      <c r="I186">
        <v>0.38596854012949511</v>
      </c>
      <c r="J186">
        <f t="shared" si="8"/>
        <v>8.6398523020950115</v>
      </c>
      <c r="K186">
        <f t="shared" si="6"/>
        <v>2.5987897990316493</v>
      </c>
      <c r="L186">
        <f t="shared" si="7"/>
        <v>383.97035628172483</v>
      </c>
    </row>
    <row r="187" spans="7:12" x14ac:dyDescent="0.25">
      <c r="G187">
        <v>185</v>
      </c>
      <c r="H187">
        <v>0.91578250033627651</v>
      </c>
      <c r="I187">
        <v>0.15051305260734593</v>
      </c>
      <c r="J187">
        <f t="shared" si="8"/>
        <v>18.399867506389253</v>
      </c>
      <c r="K187">
        <f t="shared" si="6"/>
        <v>3.5520190754832619</v>
      </c>
      <c r="L187">
        <f t="shared" si="7"/>
        <v>3164.5160520530744</v>
      </c>
    </row>
    <row r="188" spans="7:12" x14ac:dyDescent="0.25">
      <c r="G188">
        <v>186</v>
      </c>
      <c r="H188">
        <v>0.64198899927929487</v>
      </c>
      <c r="I188">
        <v>0.54165975039930536</v>
      </c>
      <c r="J188">
        <f t="shared" si="8"/>
        <v>13.197790986306602</v>
      </c>
      <c r="K188">
        <f t="shared" si="6"/>
        <v>3.1406463981118371</v>
      </c>
      <c r="L188">
        <f t="shared" si="7"/>
        <v>1399.1916325514956</v>
      </c>
    </row>
    <row r="189" spans="7:12" x14ac:dyDescent="0.25">
      <c r="G189">
        <v>187</v>
      </c>
      <c r="H189">
        <v>0.87977174763867561</v>
      </c>
      <c r="I189">
        <v>0.61304685500147771</v>
      </c>
      <c r="J189">
        <f t="shared" si="8"/>
        <v>17.715663205134838</v>
      </c>
      <c r="K189">
        <f t="shared" si="6"/>
        <v>3.5055595311977852</v>
      </c>
      <c r="L189">
        <f t="shared" si="7"/>
        <v>3310.7240646299156</v>
      </c>
    </row>
    <row r="190" spans="7:12" x14ac:dyDescent="0.25">
      <c r="G190">
        <v>188</v>
      </c>
      <c r="H190">
        <v>0.96493390773211762</v>
      </c>
      <c r="I190">
        <v>0.41438928347098158</v>
      </c>
      <c r="J190">
        <f t="shared" si="8"/>
        <v>19.333744246910236</v>
      </c>
      <c r="K190">
        <f t="shared" si="6"/>
        <v>3.612566348573754</v>
      </c>
      <c r="L190">
        <f t="shared" si="7"/>
        <v>3997.1728633856733</v>
      </c>
    </row>
    <row r="191" spans="7:12" x14ac:dyDescent="0.25">
      <c r="G191">
        <v>189</v>
      </c>
      <c r="H191">
        <v>0.25865460608222746</v>
      </c>
      <c r="I191">
        <v>0.71950764838263137</v>
      </c>
      <c r="J191">
        <f t="shared" si="8"/>
        <v>5.9144375155623212</v>
      </c>
      <c r="K191">
        <f t="shared" si="6"/>
        <v>2.0878267456578925</v>
      </c>
      <c r="L191">
        <f t="shared" si="7"/>
        <v>130.88676120367819</v>
      </c>
    </row>
    <row r="192" spans="7:12" x14ac:dyDescent="0.25">
      <c r="G192">
        <v>190</v>
      </c>
      <c r="H192">
        <v>0.25407473585244977</v>
      </c>
      <c r="I192">
        <v>0.34100249367569724</v>
      </c>
      <c r="J192">
        <f t="shared" si="8"/>
        <v>5.8274199811965453</v>
      </c>
      <c r="K192">
        <f t="shared" si="6"/>
        <v>2.0671367885224554</v>
      </c>
      <c r="L192">
        <f t="shared" si="7"/>
        <v>111.33977886540696</v>
      </c>
    </row>
    <row r="193" spans="7:12" x14ac:dyDescent="0.25">
      <c r="G193">
        <v>191</v>
      </c>
      <c r="H193">
        <v>0.93338459650658168</v>
      </c>
      <c r="I193">
        <v>0.65130158854025688</v>
      </c>
      <c r="J193">
        <f t="shared" si="8"/>
        <v>18.734307333625051</v>
      </c>
      <c r="K193">
        <f t="shared" si="6"/>
        <v>3.5740678465987314</v>
      </c>
      <c r="L193">
        <f t="shared" si="7"/>
        <v>3922.0189725258128</v>
      </c>
    </row>
    <row r="194" spans="7:12" x14ac:dyDescent="0.25">
      <c r="G194">
        <v>192</v>
      </c>
      <c r="H194">
        <v>0.43191554385285325</v>
      </c>
      <c r="I194">
        <v>6.1532632852615232E-2</v>
      </c>
      <c r="J194">
        <f t="shared" si="8"/>
        <v>9.2063953332042114</v>
      </c>
      <c r="K194">
        <f t="shared" si="6"/>
        <v>2.6816363913395476</v>
      </c>
      <c r="L194">
        <f t="shared" si="7"/>
        <v>402.28577664028501</v>
      </c>
    </row>
    <row r="195" spans="7:12" x14ac:dyDescent="0.25">
      <c r="G195">
        <v>193</v>
      </c>
      <c r="H195">
        <v>0.55976142129627515</v>
      </c>
      <c r="I195">
        <v>0.27781107685987005</v>
      </c>
      <c r="J195">
        <f t="shared" si="8"/>
        <v>11.635467004629227</v>
      </c>
      <c r="K195">
        <f t="shared" ref="K195:K258" si="9">$E$7+$D$8*LOG10(J195-$D$6)</f>
        <v>2.9819140708917025</v>
      </c>
      <c r="L195">
        <f t="shared" ref="L195:L258" si="10">10^(K195+_xlfn.NORM.INV(I195, 0, $D$10))</f>
        <v>896.28524325816409</v>
      </c>
    </row>
    <row r="196" spans="7:12" x14ac:dyDescent="0.25">
      <c r="G196">
        <v>194</v>
      </c>
      <c r="H196">
        <v>0.33247593520813989</v>
      </c>
      <c r="I196">
        <v>0.28464270617832665</v>
      </c>
      <c r="J196">
        <f t="shared" ref="J196:J259" si="11">$D$6 + H196*(20-$D$6)</f>
        <v>7.317042768954658</v>
      </c>
      <c r="K196">
        <f t="shared" si="9"/>
        <v>2.3786000780247054</v>
      </c>
      <c r="L196">
        <f t="shared" si="10"/>
        <v>223.94680294318675</v>
      </c>
    </row>
    <row r="197" spans="7:12" x14ac:dyDescent="0.25">
      <c r="G197">
        <v>195</v>
      </c>
      <c r="H197">
        <v>0.88701003068435857</v>
      </c>
      <c r="I197">
        <v>0.61487446407323831</v>
      </c>
      <c r="J197">
        <f t="shared" si="11"/>
        <v>17.853190583002814</v>
      </c>
      <c r="K197">
        <f t="shared" si="9"/>
        <v>3.5150489173390951</v>
      </c>
      <c r="L197">
        <f t="shared" si="10"/>
        <v>3385.7215849487166</v>
      </c>
    </row>
    <row r="198" spans="7:12" x14ac:dyDescent="0.25">
      <c r="G198">
        <v>196</v>
      </c>
      <c r="H198">
        <v>0.77093550162932045</v>
      </c>
      <c r="I198">
        <v>0.68907725308031809</v>
      </c>
      <c r="J198">
        <f t="shared" si="11"/>
        <v>15.647774530957088</v>
      </c>
      <c r="K198">
        <f t="shared" si="9"/>
        <v>3.3526209556731974</v>
      </c>
      <c r="L198">
        <f t="shared" si="10"/>
        <v>2383.8711646356664</v>
      </c>
    </row>
    <row r="199" spans="7:12" x14ac:dyDescent="0.25">
      <c r="G199">
        <v>197</v>
      </c>
      <c r="H199">
        <v>0.74403465509784472</v>
      </c>
      <c r="I199">
        <v>0.97708049401458563</v>
      </c>
      <c r="J199">
        <f t="shared" si="11"/>
        <v>15.13665844685905</v>
      </c>
      <c r="K199">
        <f t="shared" si="9"/>
        <v>3.3114879392597203</v>
      </c>
      <c r="L199">
        <f t="shared" si="10"/>
        <v>2578.2888766591182</v>
      </c>
    </row>
    <row r="200" spans="7:12" x14ac:dyDescent="0.25">
      <c r="G200">
        <v>198</v>
      </c>
      <c r="H200">
        <v>0.89053781148269395</v>
      </c>
      <c r="I200">
        <v>0.22236044890533346</v>
      </c>
      <c r="J200">
        <f t="shared" si="11"/>
        <v>17.920218418171185</v>
      </c>
      <c r="K200">
        <f t="shared" si="9"/>
        <v>3.5196458051317889</v>
      </c>
      <c r="L200">
        <f t="shared" si="10"/>
        <v>3029.9364884524557</v>
      </c>
    </row>
    <row r="201" spans="7:12" x14ac:dyDescent="0.25">
      <c r="G201">
        <v>199</v>
      </c>
      <c r="H201">
        <v>0.52680033135576798</v>
      </c>
      <c r="I201">
        <v>0.94335281769754176</v>
      </c>
      <c r="J201">
        <f t="shared" si="11"/>
        <v>11.009206295759592</v>
      </c>
      <c r="K201">
        <f t="shared" si="9"/>
        <v>2.911628939778133</v>
      </c>
      <c r="L201">
        <f t="shared" si="10"/>
        <v>979.05442347586984</v>
      </c>
    </row>
    <row r="202" spans="7:12" x14ac:dyDescent="0.25">
      <c r="G202">
        <v>200</v>
      </c>
      <c r="H202">
        <v>0.53858625548624073</v>
      </c>
      <c r="I202">
        <v>0.61711355408614299</v>
      </c>
      <c r="J202">
        <f t="shared" si="11"/>
        <v>11.233138854238574</v>
      </c>
      <c r="K202">
        <f t="shared" si="9"/>
        <v>2.9372535443896632</v>
      </c>
      <c r="L202">
        <f t="shared" si="10"/>
        <v>895.67195615662092</v>
      </c>
    </row>
    <row r="203" spans="7:12" x14ac:dyDescent="0.25">
      <c r="G203">
        <v>201</v>
      </c>
      <c r="H203">
        <v>0.53342566827772797</v>
      </c>
      <c r="I203">
        <v>0.52953046071365606</v>
      </c>
      <c r="J203">
        <f t="shared" si="11"/>
        <v>11.135087697276832</v>
      </c>
      <c r="K203">
        <f t="shared" si="9"/>
        <v>2.9261032611454745</v>
      </c>
      <c r="L203">
        <f t="shared" si="10"/>
        <v>850.76133074429322</v>
      </c>
    </row>
    <row r="204" spans="7:12" x14ac:dyDescent="0.25">
      <c r="G204">
        <v>202</v>
      </c>
      <c r="H204">
        <v>0.58341582710750151</v>
      </c>
      <c r="I204">
        <v>0.494172994521064</v>
      </c>
      <c r="J204">
        <f t="shared" si="11"/>
        <v>12.084900715042529</v>
      </c>
      <c r="K204">
        <f t="shared" si="9"/>
        <v>3.0298480522517153</v>
      </c>
      <c r="L204">
        <f t="shared" si="10"/>
        <v>1069.3446954955962</v>
      </c>
    </row>
    <row r="205" spans="7:12" x14ac:dyDescent="0.25">
      <c r="G205">
        <v>203</v>
      </c>
      <c r="H205">
        <v>0.7992293681564222</v>
      </c>
      <c r="I205">
        <v>0.6101267103352519</v>
      </c>
      <c r="J205">
        <f t="shared" si="11"/>
        <v>16.185357994972023</v>
      </c>
      <c r="K205">
        <f t="shared" si="9"/>
        <v>3.39436332500305</v>
      </c>
      <c r="L205">
        <f t="shared" si="10"/>
        <v>2560.6238722025187</v>
      </c>
    </row>
    <row r="206" spans="7:12" x14ac:dyDescent="0.25">
      <c r="G206">
        <v>204</v>
      </c>
      <c r="H206">
        <v>0.42234551057397363</v>
      </c>
      <c r="I206">
        <v>0.94512729314464594</v>
      </c>
      <c r="J206">
        <f t="shared" si="11"/>
        <v>9.0245647009054988</v>
      </c>
      <c r="K206">
        <f t="shared" si="9"/>
        <v>2.6556871868259178</v>
      </c>
      <c r="L206">
        <f t="shared" si="10"/>
        <v>544.06916222183054</v>
      </c>
    </row>
    <row r="207" spans="7:12" x14ac:dyDescent="0.25">
      <c r="G207">
        <v>205</v>
      </c>
      <c r="H207">
        <v>0.43762149704842068</v>
      </c>
      <c r="I207">
        <v>0.26124903341333583</v>
      </c>
      <c r="J207">
        <f t="shared" si="11"/>
        <v>9.3148084439199934</v>
      </c>
      <c r="K207">
        <f t="shared" si="9"/>
        <v>2.6968358944631601</v>
      </c>
      <c r="L207">
        <f t="shared" si="10"/>
        <v>462.23297229455812</v>
      </c>
    </row>
    <row r="208" spans="7:12" x14ac:dyDescent="0.25">
      <c r="G208">
        <v>206</v>
      </c>
      <c r="H208">
        <v>0.62907510151334045</v>
      </c>
      <c r="I208">
        <v>0.79322867974463596</v>
      </c>
      <c r="J208">
        <f t="shared" si="11"/>
        <v>12.952426928753468</v>
      </c>
      <c r="K208">
        <f t="shared" si="9"/>
        <v>3.1171128248475184</v>
      </c>
      <c r="L208">
        <f t="shared" si="10"/>
        <v>1438.7872740727073</v>
      </c>
    </row>
    <row r="209" spans="7:12" x14ac:dyDescent="0.25">
      <c r="G209">
        <v>207</v>
      </c>
      <c r="H209">
        <v>0.99130533466733317</v>
      </c>
      <c r="I209">
        <v>0.52408880751086706</v>
      </c>
      <c r="J209">
        <f t="shared" si="11"/>
        <v>19.834801358679329</v>
      </c>
      <c r="K209">
        <f t="shared" si="9"/>
        <v>3.6437926834104419</v>
      </c>
      <c r="L209">
        <f t="shared" si="10"/>
        <v>4434.1829185298775</v>
      </c>
    </row>
    <row r="210" spans="7:12" x14ac:dyDescent="0.25">
      <c r="G210">
        <v>208</v>
      </c>
      <c r="H210">
        <v>0.50420523144868301</v>
      </c>
      <c r="I210">
        <v>4.8413227075380427E-2</v>
      </c>
      <c r="J210">
        <f t="shared" si="11"/>
        <v>10.579899397524978</v>
      </c>
      <c r="K210">
        <f t="shared" si="9"/>
        <v>2.8608590944033709</v>
      </c>
      <c r="L210">
        <f t="shared" si="10"/>
        <v>599.56630105616216</v>
      </c>
    </row>
    <row r="211" spans="7:12" x14ac:dyDescent="0.25">
      <c r="G211">
        <v>209</v>
      </c>
      <c r="H211">
        <v>0.30320893692856254</v>
      </c>
      <c r="I211">
        <v>0.72286813141382422</v>
      </c>
      <c r="J211">
        <f t="shared" si="11"/>
        <v>6.7609698016426885</v>
      </c>
      <c r="K211">
        <f t="shared" si="9"/>
        <v>2.2718848285701596</v>
      </c>
      <c r="L211">
        <f t="shared" si="10"/>
        <v>200.19534981711465</v>
      </c>
    </row>
    <row r="212" spans="7:12" x14ac:dyDescent="0.25">
      <c r="G212">
        <v>210</v>
      </c>
      <c r="H212">
        <v>5.9494559784478596E-2</v>
      </c>
      <c r="I212">
        <v>3.7588304858714783E-2</v>
      </c>
      <c r="J212">
        <f t="shared" si="11"/>
        <v>2.1303966359050932</v>
      </c>
      <c r="K212">
        <f t="shared" si="9"/>
        <v>0.38584551566146075</v>
      </c>
      <c r="L212">
        <f t="shared" si="10"/>
        <v>1.9809624761320641</v>
      </c>
    </row>
    <row r="213" spans="7:12" x14ac:dyDescent="0.25">
      <c r="G213">
        <v>211</v>
      </c>
      <c r="H213">
        <v>0.30183299225616311</v>
      </c>
      <c r="I213">
        <v>6.1036135460287522E-2</v>
      </c>
      <c r="J213">
        <f t="shared" si="11"/>
        <v>6.7348268528670996</v>
      </c>
      <c r="K213">
        <f t="shared" si="9"/>
        <v>2.2666173923374542</v>
      </c>
      <c r="L213">
        <f t="shared" si="10"/>
        <v>154.636034885751</v>
      </c>
    </row>
    <row r="214" spans="7:12" x14ac:dyDescent="0.25">
      <c r="G214">
        <v>212</v>
      </c>
      <c r="H214">
        <v>0.33544800478348025</v>
      </c>
      <c r="I214">
        <v>0.6196317118452479</v>
      </c>
      <c r="J214">
        <f t="shared" si="11"/>
        <v>7.3735120908861251</v>
      </c>
      <c r="K214">
        <f t="shared" si="9"/>
        <v>2.3889067360789582</v>
      </c>
      <c r="L214">
        <f t="shared" si="10"/>
        <v>253.59017290386078</v>
      </c>
    </row>
    <row r="215" spans="7:12" x14ac:dyDescent="0.25">
      <c r="G215">
        <v>213</v>
      </c>
      <c r="H215">
        <v>0.57851401303549899</v>
      </c>
      <c r="I215">
        <v>0.8993846191913939</v>
      </c>
      <c r="J215">
        <f t="shared" si="11"/>
        <v>11.99176624767448</v>
      </c>
      <c r="K215">
        <f t="shared" si="9"/>
        <v>3.0200765228138806</v>
      </c>
      <c r="L215">
        <f t="shared" si="10"/>
        <v>1213.3306533079658</v>
      </c>
    </row>
    <row r="216" spans="7:12" x14ac:dyDescent="0.25">
      <c r="G216">
        <v>214</v>
      </c>
      <c r="H216">
        <v>0.61202587364072936</v>
      </c>
      <c r="I216">
        <v>0.90123474308990303</v>
      </c>
      <c r="J216">
        <f t="shared" si="11"/>
        <v>12.628491599173858</v>
      </c>
      <c r="K216">
        <f t="shared" si="9"/>
        <v>3.0852922545738375</v>
      </c>
      <c r="L216">
        <f t="shared" si="10"/>
        <v>1411.6375861324116</v>
      </c>
    </row>
    <row r="217" spans="7:12" x14ac:dyDescent="0.25">
      <c r="G217">
        <v>215</v>
      </c>
      <c r="H217">
        <v>0.50404269446090166</v>
      </c>
      <c r="I217">
        <v>0.13731167321918625</v>
      </c>
      <c r="J217">
        <f t="shared" si="11"/>
        <v>10.576811194757132</v>
      </c>
      <c r="K217">
        <f t="shared" si="9"/>
        <v>2.8604856999067936</v>
      </c>
      <c r="L217">
        <f t="shared" si="10"/>
        <v>639.53134187440378</v>
      </c>
    </row>
    <row r="218" spans="7:12" x14ac:dyDescent="0.25">
      <c r="G218">
        <v>216</v>
      </c>
      <c r="H218">
        <v>0.50916495097196179</v>
      </c>
      <c r="I218">
        <v>0.8063357311177729</v>
      </c>
      <c r="J218">
        <f t="shared" si="11"/>
        <v>10.674134068467275</v>
      </c>
      <c r="K218">
        <f t="shared" si="9"/>
        <v>2.8721955033203996</v>
      </c>
      <c r="L218">
        <f t="shared" si="10"/>
        <v>823.03653469919743</v>
      </c>
    </row>
    <row r="219" spans="7:12" x14ac:dyDescent="0.25">
      <c r="G219">
        <v>217</v>
      </c>
      <c r="H219">
        <v>0.44753363355509757</v>
      </c>
      <c r="I219">
        <v>2.325844810416966E-2</v>
      </c>
      <c r="J219">
        <f t="shared" si="11"/>
        <v>9.5031390375468536</v>
      </c>
      <c r="K219">
        <f t="shared" si="9"/>
        <v>2.7227746464717066</v>
      </c>
      <c r="L219">
        <f t="shared" si="10"/>
        <v>419.99199992130258</v>
      </c>
    </row>
    <row r="220" spans="7:12" x14ac:dyDescent="0.25">
      <c r="G220">
        <v>218</v>
      </c>
      <c r="H220">
        <v>0.16447256175728908</v>
      </c>
      <c r="I220">
        <v>7.1807519424701871E-2</v>
      </c>
      <c r="J220">
        <f t="shared" si="11"/>
        <v>4.1249786733884921</v>
      </c>
      <c r="K220">
        <f t="shared" si="9"/>
        <v>1.5634887195326408</v>
      </c>
      <c r="L220">
        <f t="shared" si="10"/>
        <v>30.928986605599604</v>
      </c>
    </row>
    <row r="221" spans="7:12" x14ac:dyDescent="0.25">
      <c r="G221">
        <v>219</v>
      </c>
      <c r="H221">
        <v>0.11643224857074086</v>
      </c>
      <c r="I221">
        <v>0.47619382786733166</v>
      </c>
      <c r="J221">
        <f t="shared" si="11"/>
        <v>3.2122127228440762</v>
      </c>
      <c r="K221">
        <f t="shared" si="9"/>
        <v>1.163434927224017</v>
      </c>
      <c r="L221">
        <f t="shared" si="10"/>
        <v>14.469365695941184</v>
      </c>
    </row>
    <row r="222" spans="7:12" x14ac:dyDescent="0.25">
      <c r="G222">
        <v>220</v>
      </c>
      <c r="H222">
        <v>0.39890081393753252</v>
      </c>
      <c r="I222">
        <v>0.95055310333543941</v>
      </c>
      <c r="J222">
        <f t="shared" si="11"/>
        <v>8.5791154648131176</v>
      </c>
      <c r="K222">
        <f t="shared" si="9"/>
        <v>2.5895459611317593</v>
      </c>
      <c r="L222">
        <f t="shared" si="10"/>
        <v>469.9568423429734</v>
      </c>
    </row>
    <row r="223" spans="7:12" x14ac:dyDescent="0.25">
      <c r="G223">
        <v>221</v>
      </c>
      <c r="H223">
        <v>0.8848329758976532</v>
      </c>
      <c r="I223">
        <v>5.7302518783793444E-2</v>
      </c>
      <c r="J223">
        <f t="shared" si="11"/>
        <v>17.81182654205541</v>
      </c>
      <c r="K223">
        <f t="shared" si="9"/>
        <v>3.5122029666073393</v>
      </c>
      <c r="L223">
        <f t="shared" si="10"/>
        <v>2712.1365195545714</v>
      </c>
    </row>
    <row r="224" spans="7:12" x14ac:dyDescent="0.25">
      <c r="G224">
        <v>222</v>
      </c>
      <c r="H224">
        <v>0.36199138455671764</v>
      </c>
      <c r="I224">
        <v>0.44867462820079662</v>
      </c>
      <c r="J224">
        <f t="shared" si="11"/>
        <v>7.8778363065776356</v>
      </c>
      <c r="K224">
        <f t="shared" si="9"/>
        <v>2.477101459590946</v>
      </c>
      <c r="L224">
        <f t="shared" si="10"/>
        <v>295.56358747861384</v>
      </c>
    </row>
    <row r="225" spans="7:12" x14ac:dyDescent="0.25">
      <c r="G225">
        <v>223</v>
      </c>
      <c r="H225">
        <v>0.49787429703742003</v>
      </c>
      <c r="I225">
        <v>0.61366067595345974</v>
      </c>
      <c r="J225">
        <f t="shared" si="11"/>
        <v>10.45961164371098</v>
      </c>
      <c r="K225">
        <f t="shared" si="9"/>
        <v>2.8462253844865053</v>
      </c>
      <c r="L225">
        <f t="shared" si="10"/>
        <v>725.55281117567301</v>
      </c>
    </row>
    <row r="226" spans="7:12" x14ac:dyDescent="0.25">
      <c r="G226">
        <v>224</v>
      </c>
      <c r="H226">
        <v>7.6486121211409852E-3</v>
      </c>
      <c r="I226">
        <v>0.86904739258270391</v>
      </c>
      <c r="J226">
        <f t="shared" si="11"/>
        <v>1.1453236303016787</v>
      </c>
      <c r="K226">
        <f t="shared" si="9"/>
        <v>-1.9898734657135051</v>
      </c>
      <c r="L226">
        <f t="shared" si="10"/>
        <v>1.1647199232339559E-2</v>
      </c>
    </row>
    <row r="227" spans="7:12" x14ac:dyDescent="0.25">
      <c r="G227">
        <v>225</v>
      </c>
      <c r="H227">
        <v>0.25448311201756824</v>
      </c>
      <c r="I227">
        <v>0.33963065559517702</v>
      </c>
      <c r="J227">
        <f t="shared" si="11"/>
        <v>5.8351791283337962</v>
      </c>
      <c r="K227">
        <f t="shared" si="9"/>
        <v>2.0689967466128665</v>
      </c>
      <c r="L227">
        <f t="shared" si="10"/>
        <v>111.76946683896314</v>
      </c>
    </row>
    <row r="228" spans="7:12" x14ac:dyDescent="0.25">
      <c r="G228">
        <v>226</v>
      </c>
      <c r="H228">
        <v>0.19639919921956717</v>
      </c>
      <c r="I228">
        <v>5.4001164067926655E-2</v>
      </c>
      <c r="J228">
        <f t="shared" si="11"/>
        <v>4.7315847851717763</v>
      </c>
      <c r="K228">
        <f t="shared" si="9"/>
        <v>1.7689454017556465</v>
      </c>
      <c r="L228">
        <f t="shared" si="10"/>
        <v>48.818399606772473</v>
      </c>
    </row>
    <row r="229" spans="7:12" x14ac:dyDescent="0.25">
      <c r="G229">
        <v>227</v>
      </c>
      <c r="H229">
        <v>0.58223774651337079</v>
      </c>
      <c r="I229">
        <v>8.5211077603206786E-2</v>
      </c>
      <c r="J229">
        <f t="shared" si="11"/>
        <v>12.062517183754045</v>
      </c>
      <c r="K229">
        <f t="shared" si="9"/>
        <v>3.0275071208369972</v>
      </c>
      <c r="L229">
        <f t="shared" si="10"/>
        <v>909.83929690040623</v>
      </c>
    </row>
    <row r="230" spans="7:12" x14ac:dyDescent="0.25">
      <c r="G230">
        <v>228</v>
      </c>
      <c r="H230">
        <v>0.28435762854927216</v>
      </c>
      <c r="I230">
        <v>0.47062994851580942</v>
      </c>
      <c r="J230">
        <f t="shared" si="11"/>
        <v>6.402794942436171</v>
      </c>
      <c r="K230">
        <f t="shared" si="9"/>
        <v>2.1975458577407014</v>
      </c>
      <c r="L230">
        <f t="shared" si="10"/>
        <v>156.26493522450511</v>
      </c>
    </row>
    <row r="231" spans="7:12" x14ac:dyDescent="0.25">
      <c r="G231">
        <v>229</v>
      </c>
      <c r="H231">
        <v>0.17668742279222416</v>
      </c>
      <c r="I231">
        <v>0.44726394364566691</v>
      </c>
      <c r="J231">
        <f t="shared" si="11"/>
        <v>4.3570610330522594</v>
      </c>
      <c r="K231">
        <f t="shared" si="9"/>
        <v>1.6464545307077716</v>
      </c>
      <c r="L231">
        <f t="shared" si="10"/>
        <v>43.634065421133592</v>
      </c>
    </row>
    <row r="232" spans="7:12" x14ac:dyDescent="0.25">
      <c r="G232">
        <v>230</v>
      </c>
      <c r="H232">
        <v>0.80346070614021625</v>
      </c>
      <c r="I232">
        <v>0.53398860660784042</v>
      </c>
      <c r="J232">
        <f t="shared" si="11"/>
        <v>16.265753416664111</v>
      </c>
      <c r="K232">
        <f t="shared" si="9"/>
        <v>3.4004785468594907</v>
      </c>
      <c r="L232">
        <f t="shared" si="10"/>
        <v>2539.4727294586082</v>
      </c>
    </row>
    <row r="233" spans="7:12" x14ac:dyDescent="0.25">
      <c r="G233">
        <v>231</v>
      </c>
      <c r="H233">
        <v>0.53485634267610627</v>
      </c>
      <c r="I233">
        <v>0.58263092027685859</v>
      </c>
      <c r="J233">
        <f t="shared" si="11"/>
        <v>11.162270510846019</v>
      </c>
      <c r="K233">
        <f t="shared" si="9"/>
        <v>2.9292052354017439</v>
      </c>
      <c r="L233">
        <f t="shared" si="10"/>
        <v>870.23524176958233</v>
      </c>
    </row>
    <row r="234" spans="7:12" x14ac:dyDescent="0.25">
      <c r="G234">
        <v>232</v>
      </c>
      <c r="H234">
        <v>0.1891037570918459</v>
      </c>
      <c r="I234">
        <v>7.9372190485806127E-2</v>
      </c>
      <c r="J234">
        <f t="shared" si="11"/>
        <v>4.5929713847450717</v>
      </c>
      <c r="K234">
        <f t="shared" si="9"/>
        <v>1.7251065877360194</v>
      </c>
      <c r="L234">
        <f t="shared" si="10"/>
        <v>45.148282397871505</v>
      </c>
    </row>
    <row r="235" spans="7:12" x14ac:dyDescent="0.25">
      <c r="G235">
        <v>233</v>
      </c>
      <c r="H235">
        <v>0.50305794321768138</v>
      </c>
      <c r="I235">
        <v>0.87163812216022674</v>
      </c>
      <c r="J235">
        <f t="shared" si="11"/>
        <v>10.558100921135946</v>
      </c>
      <c r="K235">
        <f t="shared" si="9"/>
        <v>2.8582208634642883</v>
      </c>
      <c r="L235">
        <f t="shared" si="10"/>
        <v>822.10881066436025</v>
      </c>
    </row>
    <row r="236" spans="7:12" x14ac:dyDescent="0.25">
      <c r="G236">
        <v>234</v>
      </c>
      <c r="H236">
        <v>9.4485946254582509E-2</v>
      </c>
      <c r="I236">
        <v>5.4524811288212405E-2</v>
      </c>
      <c r="J236">
        <f t="shared" si="11"/>
        <v>2.7952329788370678</v>
      </c>
      <c r="K236">
        <f t="shared" si="9"/>
        <v>0.9215520793113654</v>
      </c>
      <c r="L236">
        <f t="shared" si="10"/>
        <v>6.9410968710865291</v>
      </c>
    </row>
    <row r="237" spans="7:12" x14ac:dyDescent="0.25">
      <c r="G237">
        <v>235</v>
      </c>
      <c r="H237">
        <v>0.57872210778979283</v>
      </c>
      <c r="I237">
        <v>0.46686376823459474</v>
      </c>
      <c r="J237">
        <f t="shared" si="11"/>
        <v>11.995720048006064</v>
      </c>
      <c r="K237">
        <f t="shared" si="9"/>
        <v>3.0204930297092352</v>
      </c>
      <c r="L237">
        <f t="shared" si="10"/>
        <v>1038.3295936331658</v>
      </c>
    </row>
    <row r="238" spans="7:12" x14ac:dyDescent="0.25">
      <c r="G238">
        <v>236</v>
      </c>
      <c r="H238">
        <v>0.78317043608857773</v>
      </c>
      <c r="I238">
        <v>0.80779564420727901</v>
      </c>
      <c r="J238">
        <f t="shared" si="11"/>
        <v>15.880238285682976</v>
      </c>
      <c r="K238">
        <f t="shared" si="9"/>
        <v>3.3708562609954793</v>
      </c>
      <c r="L238">
        <f t="shared" si="10"/>
        <v>2596.2490609670131</v>
      </c>
    </row>
    <row r="239" spans="7:12" x14ac:dyDescent="0.25">
      <c r="G239">
        <v>237</v>
      </c>
      <c r="H239">
        <v>0.42943459476419188</v>
      </c>
      <c r="I239">
        <v>0.58158172668710773</v>
      </c>
      <c r="J239">
        <f t="shared" si="11"/>
        <v>9.1592573005196449</v>
      </c>
      <c r="K239">
        <f t="shared" si="9"/>
        <v>2.6749649086341734</v>
      </c>
      <c r="L239">
        <f t="shared" si="10"/>
        <v>484.46453202102163</v>
      </c>
    </row>
    <row r="240" spans="7:12" x14ac:dyDescent="0.25">
      <c r="G240">
        <v>238</v>
      </c>
      <c r="H240">
        <v>0.93584216967770595</v>
      </c>
      <c r="I240">
        <v>0.86254277058226858</v>
      </c>
      <c r="J240">
        <f t="shared" si="11"/>
        <v>18.781001223876412</v>
      </c>
      <c r="K240">
        <f t="shared" si="9"/>
        <v>3.5771131302818122</v>
      </c>
      <c r="L240">
        <f t="shared" si="10"/>
        <v>4282.5641426074508</v>
      </c>
    </row>
    <row r="241" spans="7:12" x14ac:dyDescent="0.25">
      <c r="G241">
        <v>239</v>
      </c>
      <c r="H241">
        <v>0.48669025938856159</v>
      </c>
      <c r="I241">
        <v>0.98743191151841458</v>
      </c>
      <c r="J241">
        <f t="shared" si="11"/>
        <v>10.24711492838267</v>
      </c>
      <c r="K241">
        <f t="shared" si="9"/>
        <v>2.8199132461984826</v>
      </c>
      <c r="L241">
        <f t="shared" si="10"/>
        <v>854.82737177510455</v>
      </c>
    </row>
    <row r="242" spans="7:12" x14ac:dyDescent="0.25">
      <c r="G242">
        <v>240</v>
      </c>
      <c r="H242">
        <v>0.12799891159134991</v>
      </c>
      <c r="I242">
        <v>0.55496786950710297</v>
      </c>
      <c r="J242">
        <f t="shared" si="11"/>
        <v>3.4319793202356483</v>
      </c>
      <c r="K242">
        <f t="shared" si="9"/>
        <v>1.2731229058657156</v>
      </c>
      <c r="L242">
        <f t="shared" si="10"/>
        <v>19.056101204540433</v>
      </c>
    </row>
    <row r="243" spans="7:12" x14ac:dyDescent="0.25">
      <c r="G243">
        <v>241</v>
      </c>
      <c r="H243">
        <v>0.17314895648863871</v>
      </c>
      <c r="I243">
        <v>0.26617681214361821</v>
      </c>
      <c r="J243">
        <f t="shared" si="11"/>
        <v>4.2898301732841357</v>
      </c>
      <c r="K243">
        <f t="shared" si="9"/>
        <v>1.623025844004228</v>
      </c>
      <c r="L243">
        <f t="shared" si="10"/>
        <v>39.06654310931745</v>
      </c>
    </row>
    <row r="244" spans="7:12" x14ac:dyDescent="0.25">
      <c r="G244">
        <v>242</v>
      </c>
      <c r="H244">
        <v>0.33428031146815518</v>
      </c>
      <c r="I244">
        <v>0.97404779856338841</v>
      </c>
      <c r="J244">
        <f t="shared" si="11"/>
        <v>7.3513259178949486</v>
      </c>
      <c r="K244">
        <f t="shared" si="9"/>
        <v>2.3848682962920398</v>
      </c>
      <c r="L244">
        <f t="shared" si="10"/>
        <v>303.43423944714209</v>
      </c>
    </row>
    <row r="245" spans="7:12" x14ac:dyDescent="0.25">
      <c r="G245">
        <v>243</v>
      </c>
      <c r="H245">
        <v>0.29258302860195906</v>
      </c>
      <c r="I245">
        <v>0.12837314957173374</v>
      </c>
      <c r="J245">
        <f t="shared" si="11"/>
        <v>6.5590775434372226</v>
      </c>
      <c r="K245">
        <f t="shared" si="9"/>
        <v>2.2305705174619241</v>
      </c>
      <c r="L245">
        <f t="shared" si="10"/>
        <v>149.23296435825677</v>
      </c>
    </row>
    <row r="246" spans="7:12" x14ac:dyDescent="0.25">
      <c r="G246">
        <v>244</v>
      </c>
      <c r="H246">
        <v>0.76751359755551141</v>
      </c>
      <c r="I246">
        <v>0.58865157889077313</v>
      </c>
      <c r="J246">
        <f t="shared" si="11"/>
        <v>15.582758353554716</v>
      </c>
      <c r="K246">
        <f t="shared" si="9"/>
        <v>3.347469043457501</v>
      </c>
      <c r="L246">
        <f t="shared" si="10"/>
        <v>2283.8781445774052</v>
      </c>
    </row>
    <row r="247" spans="7:12" x14ac:dyDescent="0.25">
      <c r="G247">
        <v>245</v>
      </c>
      <c r="H247">
        <v>0.92579336593989658</v>
      </c>
      <c r="I247">
        <v>0.45664037358773324</v>
      </c>
      <c r="J247">
        <f t="shared" si="11"/>
        <v>18.590073952858035</v>
      </c>
      <c r="K247">
        <f t="shared" si="9"/>
        <v>3.564610339581181</v>
      </c>
      <c r="L247">
        <f t="shared" si="10"/>
        <v>3623.8087791562225</v>
      </c>
    </row>
    <row r="248" spans="7:12" x14ac:dyDescent="0.25">
      <c r="G248">
        <v>246</v>
      </c>
      <c r="H248">
        <v>0.22317890626715642</v>
      </c>
      <c r="I248">
        <v>9.1163952163858086E-2</v>
      </c>
      <c r="J248">
        <f t="shared" si="11"/>
        <v>5.2403992190759716</v>
      </c>
      <c r="K248">
        <f t="shared" si="9"/>
        <v>1.9169812209630595</v>
      </c>
      <c r="L248">
        <f t="shared" si="10"/>
        <v>70.843521588503549</v>
      </c>
    </row>
    <row r="249" spans="7:12" x14ac:dyDescent="0.25">
      <c r="G249">
        <v>247</v>
      </c>
      <c r="H249">
        <v>0.62276287746854719</v>
      </c>
      <c r="I249">
        <v>0.65625944808536818</v>
      </c>
      <c r="J249">
        <f t="shared" si="11"/>
        <v>12.832494671902397</v>
      </c>
      <c r="K249">
        <f t="shared" si="9"/>
        <v>3.1054334122247367</v>
      </c>
      <c r="L249">
        <f t="shared" si="10"/>
        <v>1335.2026924191753</v>
      </c>
    </row>
    <row r="250" spans="7:12" x14ac:dyDescent="0.25">
      <c r="G250">
        <v>248</v>
      </c>
      <c r="H250">
        <v>0.94475802134211939</v>
      </c>
      <c r="I250">
        <v>0.15401019522447956</v>
      </c>
      <c r="J250">
        <f t="shared" si="11"/>
        <v>18.95040240550027</v>
      </c>
      <c r="K250">
        <f t="shared" si="9"/>
        <v>3.5880944023499697</v>
      </c>
      <c r="L250">
        <f t="shared" si="10"/>
        <v>3444.4919160235504</v>
      </c>
    </row>
    <row r="251" spans="7:12" x14ac:dyDescent="0.25">
      <c r="G251">
        <v>249</v>
      </c>
      <c r="H251">
        <v>0.4313081074043007</v>
      </c>
      <c r="I251">
        <v>0.56966963824377825</v>
      </c>
      <c r="J251">
        <f t="shared" si="11"/>
        <v>9.1948540406817134</v>
      </c>
      <c r="K251">
        <f t="shared" si="9"/>
        <v>2.6800064925858256</v>
      </c>
      <c r="L251">
        <f t="shared" si="10"/>
        <v>488.40842872897127</v>
      </c>
    </row>
    <row r="252" spans="7:12" x14ac:dyDescent="0.25">
      <c r="G252">
        <v>250</v>
      </c>
      <c r="H252">
        <v>0.59949428657713832</v>
      </c>
      <c r="I252">
        <v>0.61630805904667718</v>
      </c>
      <c r="J252">
        <f t="shared" si="11"/>
        <v>12.390391444965628</v>
      </c>
      <c r="K252">
        <f t="shared" si="9"/>
        <v>3.0613329637592823</v>
      </c>
      <c r="L252">
        <f t="shared" si="10"/>
        <v>1191.5791473056099</v>
      </c>
    </row>
    <row r="253" spans="7:12" x14ac:dyDescent="0.25">
      <c r="G253">
        <v>251</v>
      </c>
      <c r="H253">
        <v>0.93346935848340296</v>
      </c>
      <c r="I253">
        <v>0.33988045167886949</v>
      </c>
      <c r="J253">
        <f t="shared" si="11"/>
        <v>18.735917811184656</v>
      </c>
      <c r="K253">
        <f t="shared" si="9"/>
        <v>3.5741730122152435</v>
      </c>
      <c r="L253">
        <f t="shared" si="10"/>
        <v>3577.1202613149758</v>
      </c>
    </row>
    <row r="254" spans="7:12" x14ac:dyDescent="0.25">
      <c r="G254">
        <v>252</v>
      </c>
      <c r="H254">
        <v>1.3728895060928781E-2</v>
      </c>
      <c r="I254">
        <v>0.95171407130324881</v>
      </c>
      <c r="J254">
        <f t="shared" si="11"/>
        <v>1.2608490061576467</v>
      </c>
      <c r="K254">
        <f t="shared" si="9"/>
        <v>-1.3123989376237002</v>
      </c>
      <c r="L254">
        <f t="shared" si="10"/>
        <v>5.8977496363334082E-2</v>
      </c>
    </row>
    <row r="255" spans="7:12" x14ac:dyDescent="0.25">
      <c r="G255">
        <v>253</v>
      </c>
      <c r="H255">
        <v>0.38338786928408575</v>
      </c>
      <c r="I255">
        <v>0.29196370479870959</v>
      </c>
      <c r="J255">
        <f t="shared" si="11"/>
        <v>8.2843695163976285</v>
      </c>
      <c r="K255">
        <f t="shared" si="9"/>
        <v>2.5436084807264083</v>
      </c>
      <c r="L255">
        <f t="shared" si="10"/>
        <v>328.26579220942591</v>
      </c>
    </row>
    <row r="256" spans="7:12" x14ac:dyDescent="0.25">
      <c r="G256">
        <v>254</v>
      </c>
      <c r="H256">
        <v>0.59821853626892008</v>
      </c>
      <c r="I256">
        <v>0.90826726029320937</v>
      </c>
      <c r="J256">
        <f t="shared" si="11"/>
        <v>12.366152189109481</v>
      </c>
      <c r="K256">
        <f t="shared" si="9"/>
        <v>3.0588658101729407</v>
      </c>
      <c r="L256">
        <f t="shared" si="10"/>
        <v>1334.6697655079097</v>
      </c>
    </row>
    <row r="257" spans="7:12" x14ac:dyDescent="0.25">
      <c r="G257">
        <v>255</v>
      </c>
      <c r="H257">
        <v>0.44439828974121831</v>
      </c>
      <c r="I257">
        <v>3.8504281730305623E-2</v>
      </c>
      <c r="J257">
        <f t="shared" si="11"/>
        <v>9.4435675050831485</v>
      </c>
      <c r="K257">
        <f t="shared" si="9"/>
        <v>2.7146325116124732</v>
      </c>
      <c r="L257">
        <f t="shared" si="10"/>
        <v>422.8797150367617</v>
      </c>
    </row>
    <row r="258" spans="7:12" x14ac:dyDescent="0.25">
      <c r="G258">
        <v>256</v>
      </c>
      <c r="H258">
        <v>0.39789103489257027</v>
      </c>
      <c r="I258">
        <v>0.90440800550347911</v>
      </c>
      <c r="J258">
        <f t="shared" si="11"/>
        <v>8.5599296629588348</v>
      </c>
      <c r="K258">
        <f t="shared" si="9"/>
        <v>2.5866105783458164</v>
      </c>
      <c r="L258">
        <f t="shared" si="10"/>
        <v>448.70902753425537</v>
      </c>
    </row>
    <row r="259" spans="7:12" x14ac:dyDescent="0.25">
      <c r="G259">
        <v>257</v>
      </c>
      <c r="H259">
        <v>0.83192074899803348</v>
      </c>
      <c r="I259">
        <v>0.1379239435431705</v>
      </c>
      <c r="J259">
        <f t="shared" si="11"/>
        <v>16.806494230962635</v>
      </c>
      <c r="K259">
        <f t="shared" ref="K259:K302" si="12">$E$7+$D$8*LOG10(J259-$D$6)</f>
        <v>3.4407913844295073</v>
      </c>
      <c r="L259">
        <f t="shared" ref="L259:L302" si="13">10^(K259+_xlfn.NORM.INV(I259, 0, $D$10))</f>
        <v>2433.9221114748716</v>
      </c>
    </row>
    <row r="260" spans="7:12" x14ac:dyDescent="0.25">
      <c r="G260">
        <v>258</v>
      </c>
      <c r="H260">
        <v>0.71368202970518391</v>
      </c>
      <c r="I260">
        <v>0.55305280632004106</v>
      </c>
      <c r="J260">
        <f t="shared" ref="J260:J302" si="14">$D$6 + H260*(20-$D$6)</f>
        <v>14.559958564398494</v>
      </c>
      <c r="K260">
        <f t="shared" si="12"/>
        <v>3.2632521985325815</v>
      </c>
      <c r="L260">
        <f t="shared" si="13"/>
        <v>1861.7488835378172</v>
      </c>
    </row>
    <row r="261" spans="7:12" x14ac:dyDescent="0.25">
      <c r="G261">
        <v>259</v>
      </c>
      <c r="H261">
        <v>9.917589472286803E-2</v>
      </c>
      <c r="I261">
        <v>0.33639032904087496</v>
      </c>
      <c r="J261">
        <f t="shared" si="14"/>
        <v>2.8843419997344926</v>
      </c>
      <c r="K261">
        <f t="shared" si="12"/>
        <v>0.9776558403776322</v>
      </c>
      <c r="L261">
        <f t="shared" si="13"/>
        <v>9.0477189207522439</v>
      </c>
    </row>
    <row r="262" spans="7:12" x14ac:dyDescent="0.25">
      <c r="G262">
        <v>260</v>
      </c>
      <c r="H262">
        <v>0.55378798666032658</v>
      </c>
      <c r="I262">
        <v>0.29817885089438823</v>
      </c>
      <c r="J262">
        <f t="shared" si="14"/>
        <v>11.521971746546205</v>
      </c>
      <c r="K262">
        <f t="shared" si="12"/>
        <v>2.9694889154810653</v>
      </c>
      <c r="L262">
        <f t="shared" si="13"/>
        <v>877.01422507636755</v>
      </c>
    </row>
    <row r="263" spans="7:12" x14ac:dyDescent="0.25">
      <c r="G263">
        <v>261</v>
      </c>
      <c r="H263">
        <v>0.34495604968925564</v>
      </c>
      <c r="I263">
        <v>0.78041860939035024</v>
      </c>
      <c r="J263">
        <f t="shared" si="14"/>
        <v>7.5541649440958576</v>
      </c>
      <c r="K263">
        <f t="shared" si="12"/>
        <v>2.4212762100649043</v>
      </c>
      <c r="L263">
        <f t="shared" si="13"/>
        <v>288.37432973730154</v>
      </c>
    </row>
    <row r="264" spans="7:12" x14ac:dyDescent="0.25">
      <c r="G264">
        <v>262</v>
      </c>
      <c r="H264">
        <v>0.4811221367331272</v>
      </c>
      <c r="I264">
        <v>0.99198542138136359</v>
      </c>
      <c r="J264">
        <f t="shared" si="14"/>
        <v>10.141320597929417</v>
      </c>
      <c r="K264">
        <f t="shared" si="12"/>
        <v>2.806587073286781</v>
      </c>
      <c r="L264">
        <f t="shared" si="13"/>
        <v>845.27811019011983</v>
      </c>
    </row>
    <row r="265" spans="7:12" x14ac:dyDescent="0.25">
      <c r="G265">
        <v>263</v>
      </c>
      <c r="H265">
        <v>0.15140202851820961</v>
      </c>
      <c r="I265">
        <v>0.58532778115606343</v>
      </c>
      <c r="J265">
        <f t="shared" si="14"/>
        <v>3.8766385418459826</v>
      </c>
      <c r="K265">
        <f t="shared" si="12"/>
        <v>1.4675906851590399</v>
      </c>
      <c r="L265">
        <f t="shared" si="13"/>
        <v>30.086232442477563</v>
      </c>
    </row>
    <row r="266" spans="7:12" x14ac:dyDescent="0.25">
      <c r="G266">
        <v>264</v>
      </c>
      <c r="H266">
        <v>0.74986371988096368</v>
      </c>
      <c r="I266">
        <v>0.48330445221706908</v>
      </c>
      <c r="J266">
        <f t="shared" si="14"/>
        <v>15.24741067773831</v>
      </c>
      <c r="K266">
        <f t="shared" si="12"/>
        <v>3.3205257464178781</v>
      </c>
      <c r="L266">
        <f t="shared" si="13"/>
        <v>2081.7695826824515</v>
      </c>
    </row>
    <row r="267" spans="7:12" x14ac:dyDescent="0.25">
      <c r="G267">
        <v>265</v>
      </c>
      <c r="H267">
        <v>0.56835346530191766</v>
      </c>
      <c r="I267">
        <v>0.90126287099727587</v>
      </c>
      <c r="J267">
        <f t="shared" si="14"/>
        <v>11.798715840736435</v>
      </c>
      <c r="K267">
        <f t="shared" si="12"/>
        <v>2.9995555339417126</v>
      </c>
      <c r="L267">
        <f t="shared" si="13"/>
        <v>1158.7628957010174</v>
      </c>
    </row>
    <row r="268" spans="7:12" x14ac:dyDescent="0.25">
      <c r="G268">
        <v>266</v>
      </c>
      <c r="H268">
        <v>0.9413539811967655</v>
      </c>
      <c r="I268">
        <v>0.80892308308000271</v>
      </c>
      <c r="J268">
        <f t="shared" si="14"/>
        <v>18.885725642738546</v>
      </c>
      <c r="K268">
        <f t="shared" si="12"/>
        <v>3.5839140710173529</v>
      </c>
      <c r="L268">
        <f t="shared" si="13"/>
        <v>4242.3920903499202</v>
      </c>
    </row>
    <row r="269" spans="7:12" x14ac:dyDescent="0.25">
      <c r="G269">
        <v>267</v>
      </c>
      <c r="H269">
        <v>0.74438395302720273</v>
      </c>
      <c r="I269">
        <v>1.6120540502591041E-2</v>
      </c>
      <c r="J269">
        <f t="shared" si="14"/>
        <v>15.143295107516852</v>
      </c>
      <c r="K269">
        <f t="shared" si="12"/>
        <v>3.3120315073669437</v>
      </c>
      <c r="L269">
        <f t="shared" si="13"/>
        <v>1603.1016618440376</v>
      </c>
    </row>
    <row r="270" spans="7:12" x14ac:dyDescent="0.25">
      <c r="G270">
        <v>268</v>
      </c>
      <c r="H270">
        <v>0.39745847733673489</v>
      </c>
      <c r="I270">
        <v>0.25682204731259872</v>
      </c>
      <c r="J270">
        <f t="shared" si="14"/>
        <v>8.5517110693979639</v>
      </c>
      <c r="K270">
        <f t="shared" si="12"/>
        <v>2.5853508730197063</v>
      </c>
      <c r="L270">
        <f t="shared" si="13"/>
        <v>357.01969269083236</v>
      </c>
    </row>
    <row r="271" spans="7:12" x14ac:dyDescent="0.25">
      <c r="G271">
        <v>269</v>
      </c>
      <c r="H271">
        <v>0.23544548006365029</v>
      </c>
      <c r="I271">
        <v>0.24393039601590016</v>
      </c>
      <c r="J271">
        <f t="shared" si="14"/>
        <v>5.4734641212093553</v>
      </c>
      <c r="K271">
        <f t="shared" si="12"/>
        <v>1.9789471213324226</v>
      </c>
      <c r="L271">
        <f t="shared" si="13"/>
        <v>87.955167127170625</v>
      </c>
    </row>
    <row r="272" spans="7:12" x14ac:dyDescent="0.25">
      <c r="G272">
        <v>270</v>
      </c>
      <c r="H272">
        <v>0.82908324891299856</v>
      </c>
      <c r="I272">
        <v>0.3679993954657852</v>
      </c>
      <c r="J272">
        <f t="shared" si="14"/>
        <v>16.752581729346971</v>
      </c>
      <c r="K272">
        <f t="shared" si="12"/>
        <v>3.4368345428095886</v>
      </c>
      <c r="L272">
        <f t="shared" si="13"/>
        <v>2630.1269342519417</v>
      </c>
    </row>
    <row r="273" spans="7:12" x14ac:dyDescent="0.25">
      <c r="G273">
        <v>271</v>
      </c>
      <c r="H273">
        <v>0.3933003521157572</v>
      </c>
      <c r="I273">
        <v>0.91654254138445268</v>
      </c>
      <c r="J273">
        <f t="shared" si="14"/>
        <v>8.4727066901993879</v>
      </c>
      <c r="K273">
        <f t="shared" si="12"/>
        <v>2.5731710618244885</v>
      </c>
      <c r="L273">
        <f t="shared" si="13"/>
        <v>438.81383311775693</v>
      </c>
    </row>
    <row r="274" spans="7:12" x14ac:dyDescent="0.25">
      <c r="G274">
        <v>272</v>
      </c>
      <c r="H274">
        <v>0.25260849068124347</v>
      </c>
      <c r="I274">
        <v>0.15154759761440451</v>
      </c>
      <c r="J274">
        <f t="shared" si="14"/>
        <v>5.7995613229436263</v>
      </c>
      <c r="K274">
        <f t="shared" si="12"/>
        <v>2.0604340184956347</v>
      </c>
      <c r="L274">
        <f t="shared" si="13"/>
        <v>102.08057118011803</v>
      </c>
    </row>
    <row r="275" spans="7:12" x14ac:dyDescent="0.25">
      <c r="G275">
        <v>273</v>
      </c>
      <c r="H275">
        <v>0.35738836059217305</v>
      </c>
      <c r="I275">
        <v>0.46865527504024274</v>
      </c>
      <c r="J275">
        <f t="shared" si="14"/>
        <v>7.7903788512512877</v>
      </c>
      <c r="K275">
        <f t="shared" si="12"/>
        <v>2.4622805793977478</v>
      </c>
      <c r="L275">
        <f t="shared" si="13"/>
        <v>287.3082190599763</v>
      </c>
    </row>
    <row r="276" spans="7:12" x14ac:dyDescent="0.25">
      <c r="G276">
        <v>274</v>
      </c>
      <c r="H276">
        <v>0.6678807502010925</v>
      </c>
      <c r="I276">
        <v>7.8215482915588108E-2</v>
      </c>
      <c r="J276">
        <f t="shared" si="14"/>
        <v>13.689734253820758</v>
      </c>
      <c r="K276">
        <f t="shared" si="12"/>
        <v>3.1864366380684421</v>
      </c>
      <c r="L276">
        <f t="shared" si="13"/>
        <v>1304.901561012671</v>
      </c>
    </row>
    <row r="277" spans="7:12" x14ac:dyDescent="0.25">
      <c r="G277">
        <v>275</v>
      </c>
      <c r="H277">
        <v>0.14322879405077293</v>
      </c>
      <c r="I277">
        <v>0.73732897853695611</v>
      </c>
      <c r="J277">
        <f t="shared" si="14"/>
        <v>3.7213470869646859</v>
      </c>
      <c r="K277">
        <f t="shared" si="12"/>
        <v>1.4033203953317928</v>
      </c>
      <c r="L277">
        <f t="shared" si="13"/>
        <v>27.231841911057732</v>
      </c>
    </row>
    <row r="278" spans="7:12" x14ac:dyDescent="0.25">
      <c r="G278">
        <v>276</v>
      </c>
      <c r="H278">
        <v>0.72160696007693859</v>
      </c>
      <c r="I278">
        <v>7.594464561832226E-2</v>
      </c>
      <c r="J278">
        <f t="shared" si="14"/>
        <v>14.710532241461832</v>
      </c>
      <c r="K278">
        <f t="shared" si="12"/>
        <v>3.2760414037025836</v>
      </c>
      <c r="L278">
        <f t="shared" si="13"/>
        <v>1601.0205503108732</v>
      </c>
    </row>
    <row r="279" spans="7:12" x14ac:dyDescent="0.25">
      <c r="G279">
        <v>277</v>
      </c>
      <c r="H279">
        <v>0.78944059595247629</v>
      </c>
      <c r="I279">
        <v>0.67780029211099435</v>
      </c>
      <c r="J279">
        <f t="shared" si="14"/>
        <v>15.99937132309705</v>
      </c>
      <c r="K279">
        <f t="shared" si="12"/>
        <v>3.3800913829808947</v>
      </c>
      <c r="L279">
        <f t="shared" si="13"/>
        <v>2530.28363454285</v>
      </c>
    </row>
    <row r="280" spans="7:12" x14ac:dyDescent="0.25">
      <c r="G280">
        <v>278</v>
      </c>
      <c r="H280">
        <v>0.78171355795293163</v>
      </c>
      <c r="I280">
        <v>0.43923141782813724</v>
      </c>
      <c r="J280">
        <f t="shared" si="14"/>
        <v>15.852557601105701</v>
      </c>
      <c r="K280">
        <f t="shared" si="12"/>
        <v>3.3686998862258135</v>
      </c>
      <c r="L280">
        <f t="shared" si="13"/>
        <v>2296.4340599347311</v>
      </c>
    </row>
    <row r="281" spans="7:12" x14ac:dyDescent="0.25">
      <c r="G281">
        <v>279</v>
      </c>
      <c r="H281">
        <v>0.95737881857512608</v>
      </c>
      <c r="I281">
        <v>0.31497933767795205</v>
      </c>
      <c r="J281">
        <f t="shared" si="14"/>
        <v>19.190197552927394</v>
      </c>
      <c r="K281">
        <f t="shared" si="12"/>
        <v>3.6034630072204736</v>
      </c>
      <c r="L281">
        <f t="shared" si="13"/>
        <v>3796.4156625398614</v>
      </c>
    </row>
    <row r="282" spans="7:12" x14ac:dyDescent="0.25">
      <c r="G282">
        <v>280</v>
      </c>
      <c r="H282">
        <v>0.14676274112333809</v>
      </c>
      <c r="I282">
        <v>4.7275768637457749E-2</v>
      </c>
      <c r="J282">
        <f t="shared" si="14"/>
        <v>3.7884920813434237</v>
      </c>
      <c r="K282">
        <f t="shared" si="12"/>
        <v>1.4315483401072058</v>
      </c>
      <c r="L282">
        <f t="shared" si="13"/>
        <v>22.282054905103376</v>
      </c>
    </row>
    <row r="283" spans="7:12" x14ac:dyDescent="0.25">
      <c r="G283">
        <v>281</v>
      </c>
      <c r="H283">
        <v>0.99441854298392685</v>
      </c>
      <c r="I283">
        <v>0.98503191043371918</v>
      </c>
      <c r="J283">
        <f t="shared" si="14"/>
        <v>19.893952316694609</v>
      </c>
      <c r="K283">
        <f t="shared" si="12"/>
        <v>3.6474240719524946</v>
      </c>
      <c r="L283">
        <f t="shared" si="13"/>
        <v>5701.258864060097</v>
      </c>
    </row>
    <row r="284" spans="7:12" x14ac:dyDescent="0.25">
      <c r="G284">
        <v>282</v>
      </c>
      <c r="H284">
        <v>0.28678667598135654</v>
      </c>
      <c r="I284">
        <v>8.3281491721458156E-2</v>
      </c>
      <c r="J284">
        <f t="shared" si="14"/>
        <v>6.448946843645774</v>
      </c>
      <c r="K284">
        <f t="shared" si="12"/>
        <v>2.2073967552978737</v>
      </c>
      <c r="L284">
        <f t="shared" si="13"/>
        <v>137.47702892802695</v>
      </c>
    </row>
    <row r="285" spans="7:12" x14ac:dyDescent="0.25">
      <c r="G285">
        <v>283</v>
      </c>
      <c r="H285">
        <v>0.93963035298880693</v>
      </c>
      <c r="I285">
        <v>0.24321225671453528</v>
      </c>
      <c r="J285">
        <f t="shared" si="14"/>
        <v>18.852976706787331</v>
      </c>
      <c r="K285">
        <f t="shared" si="12"/>
        <v>3.5817916009453912</v>
      </c>
      <c r="L285">
        <f t="shared" si="13"/>
        <v>3523.6377681593394</v>
      </c>
    </row>
    <row r="286" spans="7:12" x14ac:dyDescent="0.25">
      <c r="G286">
        <v>284</v>
      </c>
      <c r="H286">
        <v>0.92513750070357692</v>
      </c>
      <c r="I286">
        <v>0.23371583172299781</v>
      </c>
      <c r="J286">
        <f t="shared" si="14"/>
        <v>18.57761251336796</v>
      </c>
      <c r="K286">
        <f t="shared" si="12"/>
        <v>3.5637895960441557</v>
      </c>
      <c r="L286">
        <f t="shared" si="13"/>
        <v>3368.6538275206476</v>
      </c>
    </row>
    <row r="287" spans="7:12" x14ac:dyDescent="0.25">
      <c r="G287">
        <v>285</v>
      </c>
      <c r="H287">
        <v>0.93294556814122198</v>
      </c>
      <c r="I287">
        <v>0.94179659916674141</v>
      </c>
      <c r="J287">
        <f t="shared" si="14"/>
        <v>18.725965794683219</v>
      </c>
      <c r="K287">
        <f t="shared" si="12"/>
        <v>3.57352298380549</v>
      </c>
      <c r="L287">
        <f t="shared" si="13"/>
        <v>4487.709846172369</v>
      </c>
    </row>
    <row r="288" spans="7:12" x14ac:dyDescent="0.25">
      <c r="G288">
        <v>286</v>
      </c>
      <c r="H288">
        <v>0.7136527677651695</v>
      </c>
      <c r="I288">
        <v>0.64486381807013138</v>
      </c>
      <c r="J288">
        <f t="shared" si="14"/>
        <v>14.559402587538221</v>
      </c>
      <c r="K288">
        <f t="shared" si="12"/>
        <v>3.2632047131106523</v>
      </c>
      <c r="L288">
        <f t="shared" si="13"/>
        <v>1913.2830724473149</v>
      </c>
    </row>
    <row r="289" spans="7:12" x14ac:dyDescent="0.25">
      <c r="G289">
        <v>287</v>
      </c>
      <c r="H289">
        <v>0.83498980300469905</v>
      </c>
      <c r="I289">
        <v>0.62592080935306704</v>
      </c>
      <c r="J289">
        <f t="shared" si="14"/>
        <v>16.864806257089281</v>
      </c>
      <c r="K289">
        <f t="shared" si="12"/>
        <v>3.4450559595118473</v>
      </c>
      <c r="L289">
        <f t="shared" si="13"/>
        <v>2891.4080851236131</v>
      </c>
    </row>
    <row r="290" spans="7:12" x14ac:dyDescent="0.25">
      <c r="G290">
        <v>288</v>
      </c>
      <c r="H290">
        <v>0.7865374422057142</v>
      </c>
      <c r="I290">
        <v>0.15425640944248298</v>
      </c>
      <c r="J290">
        <f t="shared" si="14"/>
        <v>15.94421140190857</v>
      </c>
      <c r="K290">
        <f t="shared" si="12"/>
        <v>3.3758245719873878</v>
      </c>
      <c r="L290">
        <f t="shared" si="13"/>
        <v>2113.0374512839489</v>
      </c>
    </row>
    <row r="291" spans="7:12" x14ac:dyDescent="0.25">
      <c r="G291">
        <v>289</v>
      </c>
      <c r="H291">
        <v>0.23125769018052178</v>
      </c>
      <c r="I291">
        <v>0.12482187563630431</v>
      </c>
      <c r="J291">
        <f t="shared" si="14"/>
        <v>5.3938961134299142</v>
      </c>
      <c r="K291">
        <f t="shared" si="12"/>
        <v>1.9581626573846109</v>
      </c>
      <c r="L291">
        <f t="shared" si="13"/>
        <v>79.54298817040295</v>
      </c>
    </row>
    <row r="292" spans="7:12" x14ac:dyDescent="0.25">
      <c r="G292">
        <v>290</v>
      </c>
      <c r="H292">
        <v>0.54601461515991367</v>
      </c>
      <c r="I292">
        <v>0.24391813443378563</v>
      </c>
      <c r="J292">
        <f t="shared" si="14"/>
        <v>11.37427768803836</v>
      </c>
      <c r="K292">
        <f t="shared" si="12"/>
        <v>2.9531175481792991</v>
      </c>
      <c r="L292">
        <f t="shared" si="13"/>
        <v>828.76200070838536</v>
      </c>
    </row>
    <row r="293" spans="7:12" x14ac:dyDescent="0.25">
      <c r="G293">
        <v>291</v>
      </c>
      <c r="H293">
        <v>0.65851528775245149</v>
      </c>
      <c r="I293">
        <v>0.471629176823258</v>
      </c>
      <c r="J293">
        <f t="shared" si="14"/>
        <v>13.511790467296578</v>
      </c>
      <c r="K293">
        <f t="shared" si="12"/>
        <v>3.170081799278397</v>
      </c>
      <c r="L293">
        <f t="shared" si="13"/>
        <v>1467.31393307803</v>
      </c>
    </row>
    <row r="294" spans="7:12" x14ac:dyDescent="0.25">
      <c r="G294">
        <v>292</v>
      </c>
      <c r="H294">
        <v>0.55284017761326187</v>
      </c>
      <c r="I294">
        <v>0.46166782698769471</v>
      </c>
      <c r="J294">
        <f t="shared" si="14"/>
        <v>11.503963374651976</v>
      </c>
      <c r="K294">
        <f t="shared" si="12"/>
        <v>2.9675050954266977</v>
      </c>
      <c r="L294">
        <f t="shared" si="13"/>
        <v>917.68462115177965</v>
      </c>
    </row>
    <row r="295" spans="7:12" x14ac:dyDescent="0.25">
      <c r="G295">
        <v>293</v>
      </c>
      <c r="H295">
        <v>0.28436731004128535</v>
      </c>
      <c r="I295">
        <v>0.2547464410405279</v>
      </c>
      <c r="J295">
        <f t="shared" si="14"/>
        <v>6.4029788907844214</v>
      </c>
      <c r="K295">
        <f t="shared" si="12"/>
        <v>2.1975852874030735</v>
      </c>
      <c r="L295">
        <f t="shared" si="13"/>
        <v>146.08442343807693</v>
      </c>
    </row>
    <row r="296" spans="7:12" x14ac:dyDescent="0.25">
      <c r="G296">
        <v>294</v>
      </c>
      <c r="H296">
        <v>0.36594521835141158</v>
      </c>
      <c r="I296">
        <v>0.24522985371941619</v>
      </c>
      <c r="J296">
        <f t="shared" si="14"/>
        <v>7.9529591486768201</v>
      </c>
      <c r="K296">
        <f t="shared" si="12"/>
        <v>2.4896823726650239</v>
      </c>
      <c r="L296">
        <f t="shared" si="13"/>
        <v>285.23543727363398</v>
      </c>
    </row>
    <row r="297" spans="7:12" x14ac:dyDescent="0.25">
      <c r="G297">
        <v>295</v>
      </c>
      <c r="H297">
        <v>0.4135050562169571</v>
      </c>
      <c r="I297">
        <v>0.85449224415157299</v>
      </c>
      <c r="J297">
        <f t="shared" si="14"/>
        <v>8.8565960681221849</v>
      </c>
      <c r="K297">
        <f t="shared" si="12"/>
        <v>2.6311883661386695</v>
      </c>
      <c r="L297">
        <f t="shared" si="13"/>
        <v>483.04010515841816</v>
      </c>
    </row>
    <row r="298" spans="7:12" x14ac:dyDescent="0.25">
      <c r="G298">
        <v>296</v>
      </c>
      <c r="H298">
        <v>0.56421861341869062</v>
      </c>
      <c r="I298">
        <v>0.17425533337517496</v>
      </c>
      <c r="J298">
        <f t="shared" si="14"/>
        <v>11.720153654955121</v>
      </c>
      <c r="K298">
        <f t="shared" si="12"/>
        <v>2.9910992593858081</v>
      </c>
      <c r="L298">
        <f t="shared" si="13"/>
        <v>879.47836070629626</v>
      </c>
    </row>
    <row r="299" spans="7:12" x14ac:dyDescent="0.25">
      <c r="G299">
        <v>297</v>
      </c>
      <c r="H299">
        <v>0.68354192728824814</v>
      </c>
      <c r="I299">
        <v>0.35917644942000571</v>
      </c>
      <c r="J299">
        <f t="shared" si="14"/>
        <v>13.987296618476714</v>
      </c>
      <c r="K299">
        <f t="shared" si="12"/>
        <v>3.213279924148901</v>
      </c>
      <c r="L299">
        <f t="shared" si="13"/>
        <v>1567.641944878631</v>
      </c>
    </row>
    <row r="300" spans="7:12" x14ac:dyDescent="0.25">
      <c r="G300">
        <v>298</v>
      </c>
      <c r="H300">
        <v>0.85084980667222443</v>
      </c>
      <c r="I300">
        <v>1.2868687660080869E-2</v>
      </c>
      <c r="J300">
        <f t="shared" si="14"/>
        <v>17.166146326772264</v>
      </c>
      <c r="K300">
        <f t="shared" si="12"/>
        <v>3.466847246590679</v>
      </c>
      <c r="L300">
        <f t="shared" si="13"/>
        <v>2266.4161850402561</v>
      </c>
    </row>
    <row r="301" spans="7:12" x14ac:dyDescent="0.25">
      <c r="G301">
        <v>299</v>
      </c>
      <c r="H301">
        <v>0.82328891946861749</v>
      </c>
      <c r="I301">
        <v>0.68467769381834198</v>
      </c>
      <c r="J301">
        <f t="shared" si="14"/>
        <v>16.642489469903733</v>
      </c>
      <c r="K301">
        <f t="shared" si="12"/>
        <v>3.428712222129993</v>
      </c>
      <c r="L301">
        <f t="shared" si="13"/>
        <v>2836.3068224492426</v>
      </c>
    </row>
    <row r="302" spans="7:12" x14ac:dyDescent="0.25">
      <c r="G302">
        <v>300</v>
      </c>
      <c r="H302">
        <v>0.18492151468813167</v>
      </c>
      <c r="I302">
        <v>0.5047055311183517</v>
      </c>
      <c r="J302">
        <f t="shared" si="14"/>
        <v>4.5135087790745017</v>
      </c>
      <c r="K302">
        <f t="shared" si="12"/>
        <v>1.6992060134251277</v>
      </c>
      <c r="L302">
        <f t="shared" si="13"/>
        <v>50.095161144436027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60CE-6A7D-4149-BC17-0E98204FAE35}">
  <dimension ref="C2:N302"/>
  <sheetViews>
    <sheetView topLeftCell="B1" workbookViewId="0">
      <selection activeCell="N3" sqref="N3:N302"/>
    </sheetView>
  </sheetViews>
  <sheetFormatPr defaultRowHeight="15" x14ac:dyDescent="0.25"/>
  <cols>
    <col min="3" max="3" width="20.7109375" bestFit="1" customWidth="1"/>
    <col min="17" max="17" width="17" customWidth="1"/>
  </cols>
  <sheetData>
    <row r="2" spans="3:14" x14ac:dyDescent="0.25">
      <c r="C2" t="s">
        <v>1</v>
      </c>
      <c r="H2" t="s">
        <v>16</v>
      </c>
      <c r="I2" t="s">
        <v>17</v>
      </c>
      <c r="J2" t="s">
        <v>0</v>
      </c>
      <c r="K2" t="s">
        <v>14</v>
      </c>
      <c r="L2" t="s">
        <v>15</v>
      </c>
      <c r="M2" t="s">
        <v>9</v>
      </c>
      <c r="N2" t="s">
        <v>13</v>
      </c>
    </row>
    <row r="3" spans="3:14" x14ac:dyDescent="0.25">
      <c r="C3" s="1" t="s">
        <v>2</v>
      </c>
      <c r="D3">
        <v>3.5000000000000003E-2</v>
      </c>
      <c r="G3">
        <v>1</v>
      </c>
      <c r="H3">
        <v>7.9720288191389876E-2</v>
      </c>
      <c r="I3">
        <v>0.7139580971735805</v>
      </c>
      <c r="J3">
        <f>$D$6 + H3*(20-$D$6)</f>
        <v>2.5146854756364077</v>
      </c>
      <c r="K3">
        <f t="shared" ref="K3:K66" si="0">$E$7+$D$8*LOG10(J3-$D$6)</f>
        <v>0.72475646127149951</v>
      </c>
      <c r="L3">
        <f t="shared" ref="L3:L66" si="1">IF(J3&gt;=$D$14,$E$15+$D$16*LOG10(J3-$D$14), 0)</f>
        <v>0</v>
      </c>
      <c r="M3">
        <f t="shared" ref="M3:M66" si="2">IF(J3&lt;$D$14,K3,LOG10(10^K3+10^L3))</f>
        <v>0.72475646127149951</v>
      </c>
      <c r="N3">
        <f t="shared" ref="N3:N66" si="3">10^(M3+_xlfn.NORM.INV(I3, 0, $D$18))</f>
        <v>5.6624675097473265</v>
      </c>
    </row>
    <row r="4" spans="3:14" x14ac:dyDescent="0.25">
      <c r="C4" s="1" t="s">
        <v>3</v>
      </c>
      <c r="D4">
        <v>0.05</v>
      </c>
      <c r="G4">
        <v>2</v>
      </c>
      <c r="H4">
        <v>0.19934627719772058</v>
      </c>
      <c r="I4">
        <v>0.28368093256463134</v>
      </c>
      <c r="J4">
        <f t="shared" ref="J4:J67" si="4">$D$6 + H4*(20-$D$6)</f>
        <v>4.7875792667566905</v>
      </c>
      <c r="K4">
        <f t="shared" si="0"/>
        <v>1.7861945134901214</v>
      </c>
      <c r="L4">
        <f t="shared" si="1"/>
        <v>0</v>
      </c>
      <c r="M4">
        <f t="shared" si="2"/>
        <v>1.7861945134901214</v>
      </c>
      <c r="N4">
        <f t="shared" si="3"/>
        <v>57.226535898424515</v>
      </c>
    </row>
    <row r="5" spans="3:14" x14ac:dyDescent="0.25">
      <c r="C5" s="1" t="s">
        <v>4</v>
      </c>
      <c r="D5">
        <v>0.5</v>
      </c>
      <c r="G5">
        <v>3</v>
      </c>
      <c r="H5">
        <v>0.26499415990569852</v>
      </c>
      <c r="I5">
        <v>0.33428057659019861</v>
      </c>
      <c r="J5">
        <f t="shared" si="4"/>
        <v>6.0348890382082718</v>
      </c>
      <c r="K5">
        <f t="shared" si="0"/>
        <v>2.1158696420448408</v>
      </c>
      <c r="L5">
        <f t="shared" si="1"/>
        <v>0</v>
      </c>
      <c r="M5">
        <f t="shared" si="2"/>
        <v>2.1158696420448408</v>
      </c>
      <c r="N5">
        <f t="shared" si="3"/>
        <v>124.29780609826862</v>
      </c>
    </row>
    <row r="6" spans="3:14" x14ac:dyDescent="0.25">
      <c r="C6" s="1" t="s">
        <v>5</v>
      </c>
      <c r="D6" s="2">
        <v>1</v>
      </c>
      <c r="G6">
        <v>4</v>
      </c>
      <c r="H6">
        <v>0.44242670588643718</v>
      </c>
      <c r="I6">
        <v>0.65386987244142747</v>
      </c>
      <c r="J6">
        <f t="shared" si="4"/>
        <v>9.4061074118423065</v>
      </c>
      <c r="K6">
        <f t="shared" si="0"/>
        <v>2.7094830588047678</v>
      </c>
      <c r="L6">
        <f t="shared" si="1"/>
        <v>0</v>
      </c>
      <c r="M6">
        <f t="shared" si="2"/>
        <v>2.7094830588047678</v>
      </c>
      <c r="N6">
        <f t="shared" si="3"/>
        <v>536.13299844555934</v>
      </c>
    </row>
    <row r="7" spans="3:14" x14ac:dyDescent="0.25">
      <c r="C7" s="1" t="s">
        <v>10</v>
      </c>
      <c r="D7">
        <f>(1.49/D3)*D5*(D5/(2*SQRT(1+D5*D5)))^(2/3)*D4^0.5</f>
        <v>1.7534628349561987</v>
      </c>
      <c r="E7" s="2">
        <f>LOG10(D7)</f>
        <v>0.24389656534469958</v>
      </c>
      <c r="G7">
        <v>5</v>
      </c>
      <c r="H7">
        <v>0.59118798361025271</v>
      </c>
      <c r="I7">
        <v>0.41992133082021488</v>
      </c>
      <c r="J7">
        <f t="shared" si="4"/>
        <v>12.232571688594801</v>
      </c>
      <c r="K7">
        <f t="shared" si="0"/>
        <v>3.0451744294275791</v>
      </c>
      <c r="L7">
        <f t="shared" si="1"/>
        <v>3.5288049284709619</v>
      </c>
      <c r="M7">
        <f t="shared" si="2"/>
        <v>3.6521254774857255</v>
      </c>
      <c r="N7">
        <f t="shared" si="3"/>
        <v>4385.5164118103166</v>
      </c>
    </row>
    <row r="8" spans="3:14" x14ac:dyDescent="0.25">
      <c r="C8" s="1" t="s">
        <v>11</v>
      </c>
      <c r="D8" s="2">
        <f>8/3</f>
        <v>2.6666666666666665</v>
      </c>
      <c r="G8">
        <v>6</v>
      </c>
      <c r="H8">
        <v>5.3588044167717563E-2</v>
      </c>
      <c r="I8">
        <v>0.71416578314862189</v>
      </c>
      <c r="J8">
        <f t="shared" si="4"/>
        <v>2.0181728391866338</v>
      </c>
      <c r="K8">
        <f t="shared" si="0"/>
        <v>0.26475391894853234</v>
      </c>
      <c r="L8">
        <f t="shared" si="1"/>
        <v>0</v>
      </c>
      <c r="M8">
        <f t="shared" si="2"/>
        <v>0.26475391894853234</v>
      </c>
      <c r="N8">
        <f t="shared" si="3"/>
        <v>1.9635127241419799</v>
      </c>
    </row>
    <row r="9" spans="3:14" x14ac:dyDescent="0.25">
      <c r="G9">
        <v>7</v>
      </c>
      <c r="H9">
        <v>0.6754843248291138</v>
      </c>
      <c r="I9">
        <v>0.30585108300507824</v>
      </c>
      <c r="J9">
        <f t="shared" si="4"/>
        <v>13.834202171753162</v>
      </c>
      <c r="K9">
        <f t="shared" si="0"/>
        <v>3.199546902054462</v>
      </c>
      <c r="L9">
        <f t="shared" si="1"/>
        <v>3.9210371533319726</v>
      </c>
      <c r="M9">
        <f t="shared" si="2"/>
        <v>3.9965451895190318</v>
      </c>
      <c r="N9">
        <f t="shared" si="3"/>
        <v>9357.5666285810348</v>
      </c>
    </row>
    <row r="10" spans="3:14" x14ac:dyDescent="0.25">
      <c r="C10" t="s">
        <v>6</v>
      </c>
      <c r="G10">
        <v>8</v>
      </c>
      <c r="H10">
        <v>0.25919915753817446</v>
      </c>
      <c r="I10">
        <v>0.9815877481989973</v>
      </c>
      <c r="J10">
        <f t="shared" si="4"/>
        <v>5.924783993225315</v>
      </c>
      <c r="K10">
        <f t="shared" si="0"/>
        <v>2.090262396247192</v>
      </c>
      <c r="L10">
        <f t="shared" si="1"/>
        <v>0</v>
      </c>
      <c r="M10">
        <f t="shared" si="2"/>
        <v>2.090262396247192</v>
      </c>
      <c r="N10">
        <f t="shared" si="3"/>
        <v>156.54803421412683</v>
      </c>
    </row>
    <row r="11" spans="3:14" x14ac:dyDescent="0.25">
      <c r="C11" s="1" t="s">
        <v>2</v>
      </c>
      <c r="D11">
        <v>3.5000000000000003E-2</v>
      </c>
      <c r="G11">
        <v>9</v>
      </c>
      <c r="H11">
        <v>6.9757770635036409E-2</v>
      </c>
      <c r="I11">
        <v>9.0826854481868669E-2</v>
      </c>
      <c r="J11">
        <f t="shared" si="4"/>
        <v>2.3253976420656919</v>
      </c>
      <c r="K11">
        <f t="shared" si="0"/>
        <v>0.57015308168836742</v>
      </c>
      <c r="L11">
        <f t="shared" si="1"/>
        <v>0</v>
      </c>
      <c r="M11">
        <f t="shared" si="2"/>
        <v>0.57015308168836742</v>
      </c>
      <c r="N11">
        <f t="shared" si="3"/>
        <v>3.1869045344638582</v>
      </c>
    </row>
    <row r="12" spans="3:14" x14ac:dyDescent="0.25">
      <c r="C12" s="1" t="s">
        <v>3</v>
      </c>
      <c r="D12">
        <v>0.05</v>
      </c>
      <c r="G12">
        <v>10</v>
      </c>
      <c r="H12">
        <v>0.99157770374338261</v>
      </c>
      <c r="I12">
        <v>0.86701142438641587</v>
      </c>
      <c r="J12">
        <f t="shared" si="4"/>
        <v>19.839976371124269</v>
      </c>
      <c r="K12">
        <f t="shared" si="0"/>
        <v>3.6441108420652144</v>
      </c>
      <c r="L12">
        <f t="shared" si="1"/>
        <v>4.6045999613375965</v>
      </c>
      <c r="M12">
        <f t="shared" si="2"/>
        <v>4.6497368185624923</v>
      </c>
      <c r="N12">
        <f t="shared" si="3"/>
        <v>50740.593767107726</v>
      </c>
    </row>
    <row r="13" spans="3:14" x14ac:dyDescent="0.25">
      <c r="C13" s="1" t="s">
        <v>7</v>
      </c>
      <c r="D13">
        <v>20</v>
      </c>
      <c r="G13">
        <v>11</v>
      </c>
      <c r="H13">
        <v>0.4270237630727205</v>
      </c>
      <c r="I13">
        <v>0.50906581440035426</v>
      </c>
      <c r="J13">
        <f t="shared" si="4"/>
        <v>9.1134514983816892</v>
      </c>
      <c r="K13">
        <f t="shared" si="0"/>
        <v>2.6684449502111742</v>
      </c>
      <c r="L13">
        <f t="shared" si="1"/>
        <v>0</v>
      </c>
      <c r="M13">
        <f t="shared" si="2"/>
        <v>2.6684449502111742</v>
      </c>
      <c r="N13">
        <f t="shared" si="3"/>
        <v>467.28439649588813</v>
      </c>
    </row>
    <row r="14" spans="3:14" x14ac:dyDescent="0.25">
      <c r="C14" s="1" t="s">
        <v>8</v>
      </c>
      <c r="D14" s="2">
        <v>10</v>
      </c>
      <c r="G14">
        <v>12</v>
      </c>
      <c r="H14">
        <v>0.6755608830112223</v>
      </c>
      <c r="I14">
        <v>0.92297108284650498</v>
      </c>
      <c r="J14">
        <f t="shared" si="4"/>
        <v>13.835656777213224</v>
      </c>
      <c r="K14">
        <f t="shared" si="0"/>
        <v>3.1996781537041796</v>
      </c>
      <c r="L14">
        <f t="shared" si="1"/>
        <v>3.9213122520835495</v>
      </c>
      <c r="M14">
        <f t="shared" si="2"/>
        <v>3.9967973351159003</v>
      </c>
      <c r="N14">
        <f t="shared" si="3"/>
        <v>11696.731667414579</v>
      </c>
    </row>
    <row r="15" spans="3:14" x14ac:dyDescent="0.25">
      <c r="C15" s="1" t="s">
        <v>10</v>
      </c>
      <c r="D15">
        <f>(1.49/D11)*D13*(D13/2)^(2/3)*D12^0.5</f>
        <v>883.68989438786173</v>
      </c>
      <c r="E15" s="2">
        <f>LOG10(D15)</f>
        <v>2.9462998885606555</v>
      </c>
      <c r="G15">
        <v>13</v>
      </c>
      <c r="H15">
        <v>0.75877761861881554</v>
      </c>
      <c r="I15">
        <v>0.24699772979403778</v>
      </c>
      <c r="J15">
        <f t="shared" si="4"/>
        <v>15.416774753757496</v>
      </c>
      <c r="K15">
        <f t="shared" si="0"/>
        <v>3.3342115337062594</v>
      </c>
      <c r="L15">
        <f t="shared" si="1"/>
        <v>4.1716469855750251</v>
      </c>
      <c r="M15">
        <f t="shared" si="2"/>
        <v>4.230604182328447</v>
      </c>
      <c r="N15">
        <f t="shared" si="3"/>
        <v>15718.307807775775</v>
      </c>
    </row>
    <row r="16" spans="3:14" x14ac:dyDescent="0.25">
      <c r="C16" s="1" t="s">
        <v>11</v>
      </c>
      <c r="D16" s="2">
        <v>1.67</v>
      </c>
      <c r="G16">
        <v>14</v>
      </c>
      <c r="H16">
        <v>0.15690568112279224</v>
      </c>
      <c r="I16">
        <v>0.11950619554296371</v>
      </c>
      <c r="J16">
        <f t="shared" si="4"/>
        <v>3.9812079413330528</v>
      </c>
      <c r="K16">
        <f t="shared" si="0"/>
        <v>1.5089426171637208</v>
      </c>
      <c r="L16">
        <f t="shared" si="1"/>
        <v>0</v>
      </c>
      <c r="M16">
        <f t="shared" si="2"/>
        <v>1.5089426171637208</v>
      </c>
      <c r="N16">
        <f t="shared" si="3"/>
        <v>28.188351083497615</v>
      </c>
    </row>
    <row r="17" spans="3:14" x14ac:dyDescent="0.25">
      <c r="G17">
        <v>15</v>
      </c>
      <c r="H17">
        <v>0.20729637297699166</v>
      </c>
      <c r="I17">
        <v>0.26723021008568604</v>
      </c>
      <c r="J17">
        <f t="shared" si="4"/>
        <v>4.9386310865628413</v>
      </c>
      <c r="K17">
        <f t="shared" si="0"/>
        <v>1.8314840436109183</v>
      </c>
      <c r="L17">
        <f t="shared" si="1"/>
        <v>0</v>
      </c>
      <c r="M17">
        <f t="shared" si="2"/>
        <v>1.8314840436109183</v>
      </c>
      <c r="N17">
        <f t="shared" si="3"/>
        <v>63.157286775050721</v>
      </c>
    </row>
    <row r="18" spans="3:14" x14ac:dyDescent="0.25">
      <c r="C18" s="1" t="s">
        <v>12</v>
      </c>
      <c r="D18" s="2">
        <v>0.05</v>
      </c>
      <c r="G18">
        <v>16</v>
      </c>
      <c r="H18">
        <v>0.21644453206449998</v>
      </c>
      <c r="I18">
        <v>0.61254117729608781</v>
      </c>
      <c r="J18">
        <f t="shared" si="4"/>
        <v>5.1124461092255</v>
      </c>
      <c r="K18">
        <f t="shared" si="0"/>
        <v>1.8814971516518519</v>
      </c>
      <c r="L18">
        <f t="shared" si="1"/>
        <v>0</v>
      </c>
      <c r="M18">
        <f t="shared" si="2"/>
        <v>1.8814971516518519</v>
      </c>
      <c r="N18">
        <f t="shared" si="3"/>
        <v>78.667359197778126</v>
      </c>
    </row>
    <row r="19" spans="3:14" x14ac:dyDescent="0.25">
      <c r="C19" s="1"/>
      <c r="G19">
        <v>17</v>
      </c>
      <c r="H19">
        <v>0.14547567158605101</v>
      </c>
      <c r="I19">
        <v>0.38135142535069388</v>
      </c>
      <c r="J19">
        <f t="shared" si="4"/>
        <v>3.7640377601349693</v>
      </c>
      <c r="K19">
        <f t="shared" si="0"/>
        <v>1.4213471566413804</v>
      </c>
      <c r="L19">
        <f t="shared" si="1"/>
        <v>0</v>
      </c>
      <c r="M19">
        <f t="shared" si="2"/>
        <v>1.4213471566413804</v>
      </c>
      <c r="N19">
        <f t="shared" si="3"/>
        <v>25.482996099575715</v>
      </c>
    </row>
    <row r="20" spans="3:14" x14ac:dyDescent="0.25">
      <c r="G20">
        <v>18</v>
      </c>
      <c r="H20">
        <v>0.54526022428315635</v>
      </c>
      <c r="I20">
        <v>0.41553034938530697</v>
      </c>
      <c r="J20">
        <f t="shared" si="4"/>
        <v>11.359944261379971</v>
      </c>
      <c r="K20">
        <f t="shared" si="0"/>
        <v>2.9515163488708853</v>
      </c>
      <c r="L20">
        <f t="shared" si="1"/>
        <v>3.169280140188286</v>
      </c>
      <c r="M20">
        <f t="shared" si="2"/>
        <v>3.3749364884140709</v>
      </c>
      <c r="N20">
        <f t="shared" si="3"/>
        <v>2313.4995499213596</v>
      </c>
    </row>
    <row r="21" spans="3:14" x14ac:dyDescent="0.25">
      <c r="G21">
        <v>19</v>
      </c>
      <c r="H21">
        <v>5.0367241826119513E-2</v>
      </c>
      <c r="I21">
        <v>0.55465201768409811</v>
      </c>
      <c r="J21">
        <f t="shared" si="4"/>
        <v>1.9569775946962706</v>
      </c>
      <c r="K21">
        <f t="shared" si="0"/>
        <v>0.19296795186857882</v>
      </c>
      <c r="L21">
        <f t="shared" si="1"/>
        <v>0</v>
      </c>
      <c r="M21">
        <f t="shared" si="2"/>
        <v>0.19296795186857882</v>
      </c>
      <c r="N21">
        <f t="shared" si="3"/>
        <v>1.5843062398931438</v>
      </c>
    </row>
    <row r="22" spans="3:14" x14ac:dyDescent="0.25">
      <c r="G22">
        <v>20</v>
      </c>
      <c r="H22">
        <v>7.8325635501351187E-2</v>
      </c>
      <c r="I22">
        <v>0.50188890433249078</v>
      </c>
      <c r="J22">
        <f t="shared" si="4"/>
        <v>2.4881870745256727</v>
      </c>
      <c r="K22">
        <f t="shared" si="0"/>
        <v>0.70431664055568421</v>
      </c>
      <c r="L22">
        <f t="shared" si="1"/>
        <v>0</v>
      </c>
      <c r="M22">
        <f t="shared" si="2"/>
        <v>0.70431664055568421</v>
      </c>
      <c r="N22">
        <f t="shared" si="3"/>
        <v>5.0646959745763844</v>
      </c>
    </row>
    <row r="23" spans="3:14" x14ac:dyDescent="0.25">
      <c r="G23">
        <v>21</v>
      </c>
      <c r="H23">
        <v>0.33404069287474247</v>
      </c>
      <c r="I23">
        <v>0.65269990583242155</v>
      </c>
      <c r="J23">
        <f t="shared" si="4"/>
        <v>7.3467731646201067</v>
      </c>
      <c r="K23">
        <f t="shared" si="0"/>
        <v>2.3840378367840009</v>
      </c>
      <c r="L23">
        <f t="shared" si="1"/>
        <v>0</v>
      </c>
      <c r="M23">
        <f t="shared" si="2"/>
        <v>2.3840378367840009</v>
      </c>
      <c r="N23">
        <f t="shared" si="3"/>
        <v>253.31962429454532</v>
      </c>
    </row>
    <row r="24" spans="3:14" x14ac:dyDescent="0.25">
      <c r="G24">
        <v>22</v>
      </c>
      <c r="H24">
        <v>0.47124691685462083</v>
      </c>
      <c r="I24">
        <v>0.88827964654306968</v>
      </c>
      <c r="J24">
        <f t="shared" si="4"/>
        <v>9.9536914202377957</v>
      </c>
      <c r="K24">
        <f t="shared" si="0"/>
        <v>2.7825688927923631</v>
      </c>
      <c r="L24">
        <f t="shared" si="1"/>
        <v>0</v>
      </c>
      <c r="M24">
        <f t="shared" si="2"/>
        <v>2.7825688927923631</v>
      </c>
      <c r="N24">
        <f t="shared" si="3"/>
        <v>697.33326980736069</v>
      </c>
    </row>
    <row r="25" spans="3:14" x14ac:dyDescent="0.25">
      <c r="G25">
        <v>23</v>
      </c>
      <c r="H25">
        <v>0.9579419035757476</v>
      </c>
      <c r="I25">
        <v>0.38149549216730572</v>
      </c>
      <c r="J25">
        <f t="shared" si="4"/>
        <v>19.200896167939206</v>
      </c>
      <c r="K25">
        <f t="shared" si="0"/>
        <v>3.6041439576578727</v>
      </c>
      <c r="L25">
        <f t="shared" si="1"/>
        <v>4.555896205191468</v>
      </c>
      <c r="M25">
        <f t="shared" si="2"/>
        <v>4.6019033654928165</v>
      </c>
      <c r="N25">
        <f t="shared" si="3"/>
        <v>38621.18488899876</v>
      </c>
    </row>
    <row r="26" spans="3:14" x14ac:dyDescent="0.25">
      <c r="G26">
        <v>24</v>
      </c>
      <c r="H26">
        <v>0.33477478970879004</v>
      </c>
      <c r="I26">
        <v>0.43831649982363119</v>
      </c>
      <c r="J26">
        <f t="shared" si="4"/>
        <v>7.3607210044670106</v>
      </c>
      <c r="K26">
        <f t="shared" si="0"/>
        <v>2.3865801569747771</v>
      </c>
      <c r="L26">
        <f t="shared" si="1"/>
        <v>0</v>
      </c>
      <c r="M26">
        <f t="shared" si="2"/>
        <v>2.3865801569747771</v>
      </c>
      <c r="N26">
        <f t="shared" si="3"/>
        <v>239.23141722822342</v>
      </c>
    </row>
    <row r="27" spans="3:14" x14ac:dyDescent="0.25">
      <c r="G27">
        <v>25</v>
      </c>
      <c r="H27">
        <v>0.68751369310433119</v>
      </c>
      <c r="I27">
        <v>0.95092244760447264</v>
      </c>
      <c r="J27">
        <f t="shared" si="4"/>
        <v>14.062760168982292</v>
      </c>
      <c r="K27">
        <f t="shared" si="0"/>
        <v>3.2199897741915584</v>
      </c>
      <c r="L27">
        <f t="shared" si="1"/>
        <v>3.963031269193976</v>
      </c>
      <c r="M27">
        <f t="shared" si="2"/>
        <v>4.0351708863723328</v>
      </c>
      <c r="N27">
        <f t="shared" si="3"/>
        <v>13117.893393868499</v>
      </c>
    </row>
    <row r="28" spans="3:14" x14ac:dyDescent="0.25">
      <c r="G28">
        <v>26</v>
      </c>
      <c r="H28">
        <v>0.91945692357688402</v>
      </c>
      <c r="I28">
        <v>0.98153800791011536</v>
      </c>
      <c r="J28">
        <f t="shared" si="4"/>
        <v>18.469681547960796</v>
      </c>
      <c r="K28">
        <f t="shared" si="0"/>
        <v>3.5566565343319754</v>
      </c>
      <c r="L28">
        <f t="shared" si="1"/>
        <v>4.4958379147904086</v>
      </c>
      <c r="M28">
        <f t="shared" si="2"/>
        <v>4.5431252407745184</v>
      </c>
      <c r="N28">
        <f t="shared" si="3"/>
        <v>44407.407449666884</v>
      </c>
    </row>
    <row r="29" spans="3:14" x14ac:dyDescent="0.25">
      <c r="G29">
        <v>27</v>
      </c>
      <c r="H29">
        <v>0.21979990499104707</v>
      </c>
      <c r="I29">
        <v>0.52712493382008696</v>
      </c>
      <c r="J29">
        <f t="shared" si="4"/>
        <v>5.1761981948298939</v>
      </c>
      <c r="K29">
        <f t="shared" si="0"/>
        <v>1.8993128355198308</v>
      </c>
      <c r="L29">
        <f t="shared" si="1"/>
        <v>0</v>
      </c>
      <c r="M29">
        <f t="shared" si="2"/>
        <v>1.8993128355198308</v>
      </c>
      <c r="N29">
        <f t="shared" si="3"/>
        <v>79.930966697439857</v>
      </c>
    </row>
    <row r="30" spans="3:14" x14ac:dyDescent="0.25">
      <c r="G30">
        <v>28</v>
      </c>
      <c r="H30">
        <v>0.16401230171361347</v>
      </c>
      <c r="I30">
        <v>5.5642340176892402E-2</v>
      </c>
      <c r="J30">
        <f t="shared" si="4"/>
        <v>4.1162337325586558</v>
      </c>
      <c r="K30">
        <f t="shared" si="0"/>
        <v>1.560243297085554</v>
      </c>
      <c r="L30">
        <f t="shared" si="1"/>
        <v>0</v>
      </c>
      <c r="M30">
        <f t="shared" si="2"/>
        <v>1.560243297085554</v>
      </c>
      <c r="N30">
        <f t="shared" si="3"/>
        <v>30.242732712716244</v>
      </c>
    </row>
    <row r="31" spans="3:14" x14ac:dyDescent="0.25">
      <c r="G31">
        <v>29</v>
      </c>
      <c r="H31">
        <v>0.9447049009709636</v>
      </c>
      <c r="I31">
        <v>0.31003880363329717</v>
      </c>
      <c r="J31">
        <f t="shared" si="4"/>
        <v>18.94939311844831</v>
      </c>
      <c r="K31">
        <f t="shared" si="0"/>
        <v>3.5880292836433343</v>
      </c>
      <c r="L31">
        <f t="shared" si="1"/>
        <v>4.5357951766455136</v>
      </c>
      <c r="M31">
        <f t="shared" si="2"/>
        <v>4.5822046925200732</v>
      </c>
      <c r="N31">
        <f t="shared" si="3"/>
        <v>36092.55895037864</v>
      </c>
    </row>
    <row r="32" spans="3:14" x14ac:dyDescent="0.25">
      <c r="G32">
        <v>30</v>
      </c>
      <c r="H32">
        <v>0.79546461621857412</v>
      </c>
      <c r="I32">
        <v>0.19519298110335559</v>
      </c>
      <c r="J32">
        <f t="shared" si="4"/>
        <v>16.113827708152908</v>
      </c>
      <c r="K32">
        <f t="shared" si="0"/>
        <v>3.3888951443292896</v>
      </c>
      <c r="L32">
        <f t="shared" si="1"/>
        <v>4.2594429256250237</v>
      </c>
      <c r="M32">
        <f t="shared" si="2"/>
        <v>4.3143340269267885</v>
      </c>
      <c r="N32">
        <f t="shared" si="3"/>
        <v>18680.484907528924</v>
      </c>
    </row>
    <row r="33" spans="7:14" x14ac:dyDescent="0.25">
      <c r="G33">
        <v>31</v>
      </c>
      <c r="H33">
        <v>4.7082223357030384E-2</v>
      </c>
      <c r="I33">
        <v>6.6778717965558898E-2</v>
      </c>
      <c r="J33">
        <f t="shared" si="4"/>
        <v>1.8945622437835774</v>
      </c>
      <c r="K33">
        <f t="shared" si="0"/>
        <v>0.11485806996881762</v>
      </c>
      <c r="L33">
        <f t="shared" si="1"/>
        <v>0</v>
      </c>
      <c r="M33">
        <f t="shared" si="2"/>
        <v>0.11485806996881762</v>
      </c>
      <c r="N33">
        <f t="shared" si="3"/>
        <v>1.0960921621311659</v>
      </c>
    </row>
    <row r="34" spans="7:14" x14ac:dyDescent="0.25">
      <c r="G34">
        <v>32</v>
      </c>
      <c r="H34">
        <v>0.3136043752110208</v>
      </c>
      <c r="I34">
        <v>0.28003455482581097</v>
      </c>
      <c r="J34">
        <f t="shared" si="4"/>
        <v>6.9584831290093954</v>
      </c>
      <c r="K34">
        <f t="shared" si="0"/>
        <v>2.3109251360406584</v>
      </c>
      <c r="L34">
        <f t="shared" si="1"/>
        <v>0</v>
      </c>
      <c r="M34">
        <f t="shared" si="2"/>
        <v>2.3109251360406584</v>
      </c>
      <c r="N34">
        <f t="shared" si="3"/>
        <v>191.33225634489855</v>
      </c>
    </row>
    <row r="35" spans="7:14" x14ac:dyDescent="0.25">
      <c r="G35">
        <v>33</v>
      </c>
      <c r="H35">
        <v>0.5475079021027659</v>
      </c>
      <c r="I35">
        <v>2.5153425874240964E-2</v>
      </c>
      <c r="J35">
        <f t="shared" si="4"/>
        <v>11.402650139952552</v>
      </c>
      <c r="K35">
        <f t="shared" si="0"/>
        <v>2.9562805456646517</v>
      </c>
      <c r="L35">
        <f t="shared" si="1"/>
        <v>3.1917053187334186</v>
      </c>
      <c r="M35">
        <f t="shared" si="2"/>
        <v>3.3907838941188677</v>
      </c>
      <c r="N35">
        <f t="shared" si="3"/>
        <v>1962.9833457728027</v>
      </c>
    </row>
    <row r="36" spans="7:14" x14ac:dyDescent="0.25">
      <c r="G36">
        <v>34</v>
      </c>
      <c r="H36">
        <v>0.60558660289717148</v>
      </c>
      <c r="I36">
        <v>0.37805515798670453</v>
      </c>
      <c r="J36">
        <f t="shared" si="4"/>
        <v>12.506145455046259</v>
      </c>
      <c r="K36">
        <f t="shared" si="0"/>
        <v>3.0730428583099538</v>
      </c>
      <c r="L36">
        <f t="shared" si="1"/>
        <v>3.6126403654022932</v>
      </c>
      <c r="M36">
        <f t="shared" si="2"/>
        <v>3.7227822720628962</v>
      </c>
      <c r="N36">
        <f t="shared" si="3"/>
        <v>5096.2724732959432</v>
      </c>
    </row>
    <row r="37" spans="7:14" x14ac:dyDescent="0.25">
      <c r="G37">
        <v>35</v>
      </c>
      <c r="H37">
        <v>0.75115508398638164</v>
      </c>
      <c r="I37">
        <v>0.92144080894760505</v>
      </c>
      <c r="J37">
        <f t="shared" si="4"/>
        <v>15.271946595741252</v>
      </c>
      <c r="K37">
        <f t="shared" si="0"/>
        <v>3.322518463869196</v>
      </c>
      <c r="L37">
        <f t="shared" si="1"/>
        <v>4.1519914623203062</v>
      </c>
      <c r="M37">
        <f t="shared" si="2"/>
        <v>4.2119675601366096</v>
      </c>
      <c r="N37">
        <f t="shared" si="3"/>
        <v>19173.838011687869</v>
      </c>
    </row>
    <row r="38" spans="7:14" x14ac:dyDescent="0.25">
      <c r="G38">
        <v>36</v>
      </c>
      <c r="H38">
        <v>0.19349784667875203</v>
      </c>
      <c r="I38">
        <v>0.23708794860578075</v>
      </c>
      <c r="J38">
        <f t="shared" si="4"/>
        <v>4.6764590868962888</v>
      </c>
      <c r="K38">
        <f t="shared" si="0"/>
        <v>1.7517091982309998</v>
      </c>
      <c r="L38">
        <f t="shared" si="1"/>
        <v>0</v>
      </c>
      <c r="M38">
        <f t="shared" si="2"/>
        <v>1.7517091982309998</v>
      </c>
      <c r="N38">
        <f t="shared" si="3"/>
        <v>51.990517518016567</v>
      </c>
    </row>
    <row r="39" spans="7:14" x14ac:dyDescent="0.25">
      <c r="G39">
        <v>37</v>
      </c>
      <c r="H39">
        <v>0.50880385963376629</v>
      </c>
      <c r="I39">
        <v>0.46549897124702022</v>
      </c>
      <c r="J39">
        <f t="shared" si="4"/>
        <v>10.66727333304156</v>
      </c>
      <c r="K39">
        <f t="shared" si="0"/>
        <v>2.8713738934343347</v>
      </c>
      <c r="L39">
        <f t="shared" si="1"/>
        <v>2.6528871828279574</v>
      </c>
      <c r="M39">
        <f t="shared" si="2"/>
        <v>3.0767576926989237</v>
      </c>
      <c r="N39">
        <f t="shared" si="3"/>
        <v>1181.4850370967993</v>
      </c>
    </row>
    <row r="40" spans="7:14" x14ac:dyDescent="0.25">
      <c r="G40">
        <v>38</v>
      </c>
      <c r="H40">
        <v>0.133794549290566</v>
      </c>
      <c r="I40">
        <v>7.7854210424469161E-2</v>
      </c>
      <c r="J40">
        <f t="shared" si="4"/>
        <v>3.5420964365207541</v>
      </c>
      <c r="K40">
        <f t="shared" si="0"/>
        <v>1.3244086236090846</v>
      </c>
      <c r="L40">
        <f t="shared" si="1"/>
        <v>0</v>
      </c>
      <c r="M40">
        <f t="shared" si="2"/>
        <v>1.3244086236090846</v>
      </c>
      <c r="N40">
        <f t="shared" si="3"/>
        <v>17.92362797137082</v>
      </c>
    </row>
    <row r="41" spans="7:14" x14ac:dyDescent="0.25">
      <c r="G41">
        <v>39</v>
      </c>
      <c r="H41">
        <v>0.33062981218974719</v>
      </c>
      <c r="I41">
        <v>0.53338282061081743</v>
      </c>
      <c r="J41">
        <f t="shared" si="4"/>
        <v>7.2819664316051966</v>
      </c>
      <c r="K41">
        <f t="shared" si="0"/>
        <v>2.3721515289906536</v>
      </c>
      <c r="L41">
        <f t="shared" si="1"/>
        <v>0</v>
      </c>
      <c r="M41">
        <f t="shared" si="2"/>
        <v>2.3721515289906536</v>
      </c>
      <c r="N41">
        <f t="shared" si="3"/>
        <v>237.8703654344427</v>
      </c>
    </row>
    <row r="42" spans="7:14" x14ac:dyDescent="0.25">
      <c r="G42">
        <v>40</v>
      </c>
      <c r="H42">
        <v>0.75961634887826257</v>
      </c>
      <c r="I42">
        <v>0.83095523442689834</v>
      </c>
      <c r="J42">
        <f t="shared" si="4"/>
        <v>15.432710628686989</v>
      </c>
      <c r="K42">
        <f t="shared" si="0"/>
        <v>3.3354909766556853</v>
      </c>
      <c r="L42">
        <f t="shared" si="1"/>
        <v>4.1737775656636469</v>
      </c>
      <c r="M42">
        <f t="shared" si="2"/>
        <v>4.232626809254695</v>
      </c>
      <c r="N42">
        <f t="shared" si="3"/>
        <v>19077.618272168613</v>
      </c>
    </row>
    <row r="43" spans="7:14" x14ac:dyDescent="0.25">
      <c r="G43">
        <v>41</v>
      </c>
      <c r="H43">
        <v>0.7176382195122869</v>
      </c>
      <c r="I43">
        <v>0.90175312307246258</v>
      </c>
      <c r="J43">
        <f t="shared" si="4"/>
        <v>14.635126170733452</v>
      </c>
      <c r="K43">
        <f t="shared" si="0"/>
        <v>3.2696543279567094</v>
      </c>
      <c r="L43">
        <f t="shared" si="1"/>
        <v>4.0586226943964885</v>
      </c>
      <c r="M43">
        <f t="shared" si="2"/>
        <v>4.12404057957548</v>
      </c>
      <c r="N43">
        <f t="shared" si="3"/>
        <v>15439.060213781615</v>
      </c>
    </row>
    <row r="44" spans="7:14" x14ac:dyDescent="0.25">
      <c r="G44">
        <v>42</v>
      </c>
      <c r="H44">
        <v>0.95246980315777741</v>
      </c>
      <c r="I44">
        <v>0.70352935341219192</v>
      </c>
      <c r="J44">
        <f t="shared" si="4"/>
        <v>19.096926259997772</v>
      </c>
      <c r="K44">
        <f t="shared" si="0"/>
        <v>3.597509410051976</v>
      </c>
      <c r="L44">
        <f t="shared" si="1"/>
        <v>4.5476539946730341</v>
      </c>
      <c r="M44">
        <f t="shared" si="2"/>
        <v>4.593823022127518</v>
      </c>
      <c r="N44">
        <f t="shared" si="3"/>
        <v>41739.952597976837</v>
      </c>
    </row>
    <row r="45" spans="7:14" x14ac:dyDescent="0.25">
      <c r="G45">
        <v>43</v>
      </c>
      <c r="H45">
        <v>0.25505921432819012</v>
      </c>
      <c r="I45">
        <v>0.56825511023500064</v>
      </c>
      <c r="J45">
        <f t="shared" si="4"/>
        <v>5.846125072235612</v>
      </c>
      <c r="K45">
        <f t="shared" si="0"/>
        <v>2.0716155480817067</v>
      </c>
      <c r="L45">
        <f t="shared" si="1"/>
        <v>0</v>
      </c>
      <c r="M45">
        <f t="shared" si="2"/>
        <v>2.0716155480817067</v>
      </c>
      <c r="N45">
        <f t="shared" si="3"/>
        <v>120.28520840597703</v>
      </c>
    </row>
    <row r="46" spans="7:14" x14ac:dyDescent="0.25">
      <c r="G46">
        <v>44</v>
      </c>
      <c r="H46">
        <v>3.0314082248744656E-2</v>
      </c>
      <c r="I46">
        <v>0.88564805122046752</v>
      </c>
      <c r="J46">
        <f t="shared" si="4"/>
        <v>1.5759675627261485</v>
      </c>
      <c r="K46">
        <f t="shared" si="0"/>
        <v>-0.39504203314580222</v>
      </c>
      <c r="L46">
        <f t="shared" si="1"/>
        <v>0</v>
      </c>
      <c r="M46">
        <f t="shared" si="2"/>
        <v>-0.39504203314580222</v>
      </c>
      <c r="N46">
        <f t="shared" si="3"/>
        <v>0.46253348710802711</v>
      </c>
    </row>
    <row r="47" spans="7:14" x14ac:dyDescent="0.25">
      <c r="G47">
        <v>45</v>
      </c>
      <c r="H47">
        <v>0.44563030613746679</v>
      </c>
      <c r="I47">
        <v>0.66918195126700009</v>
      </c>
      <c r="J47">
        <f t="shared" si="4"/>
        <v>9.4669758166118694</v>
      </c>
      <c r="K47">
        <f t="shared" si="0"/>
        <v>2.717838750253823</v>
      </c>
      <c r="L47">
        <f t="shared" si="1"/>
        <v>0</v>
      </c>
      <c r="M47">
        <f t="shared" si="2"/>
        <v>2.717838750253823</v>
      </c>
      <c r="N47">
        <f t="shared" si="3"/>
        <v>549.18860903629889</v>
      </c>
    </row>
    <row r="48" spans="7:14" x14ac:dyDescent="0.25">
      <c r="G48">
        <v>46</v>
      </c>
      <c r="H48">
        <v>0.39133431861507328</v>
      </c>
      <c r="I48">
        <v>0.6781300209590212</v>
      </c>
      <c r="J48">
        <f t="shared" si="4"/>
        <v>8.4353520536863922</v>
      </c>
      <c r="K48">
        <f t="shared" si="0"/>
        <v>2.5673673295868413</v>
      </c>
      <c r="L48">
        <f t="shared" si="1"/>
        <v>0</v>
      </c>
      <c r="M48">
        <f t="shared" si="2"/>
        <v>2.5673673295868413</v>
      </c>
      <c r="N48">
        <f t="shared" si="3"/>
        <v>389.48535563397132</v>
      </c>
    </row>
    <row r="49" spans="7:14" x14ac:dyDescent="0.25">
      <c r="G49">
        <v>47</v>
      </c>
      <c r="H49">
        <v>0.95206910921557397</v>
      </c>
      <c r="I49">
        <v>0.56047865016780207</v>
      </c>
      <c r="J49">
        <f t="shared" si="4"/>
        <v>19.089313075095905</v>
      </c>
      <c r="K49">
        <f t="shared" si="0"/>
        <v>3.5970220993243434</v>
      </c>
      <c r="L49">
        <f t="shared" si="1"/>
        <v>4.5470467631918652</v>
      </c>
      <c r="M49">
        <f t="shared" si="2"/>
        <v>4.5932278864478322</v>
      </c>
      <c r="N49">
        <f t="shared" si="3"/>
        <v>39887.519566840434</v>
      </c>
    </row>
    <row r="50" spans="7:14" x14ac:dyDescent="0.25">
      <c r="G50">
        <v>48</v>
      </c>
      <c r="H50">
        <v>0.4702478672900382</v>
      </c>
      <c r="I50">
        <v>6.6305248569390018E-2</v>
      </c>
      <c r="J50">
        <f t="shared" si="4"/>
        <v>9.9347094785107259</v>
      </c>
      <c r="K50">
        <f t="shared" si="0"/>
        <v>2.7801110600880112</v>
      </c>
      <c r="L50">
        <f t="shared" si="1"/>
        <v>0</v>
      </c>
      <c r="M50">
        <f t="shared" si="2"/>
        <v>2.7801110600880112</v>
      </c>
      <c r="N50">
        <f t="shared" si="3"/>
        <v>506.89349316613783</v>
      </c>
    </row>
    <row r="51" spans="7:14" x14ac:dyDescent="0.25">
      <c r="G51">
        <v>49</v>
      </c>
      <c r="H51">
        <v>0.75327648901149391</v>
      </c>
      <c r="I51">
        <v>0.85979485916509679</v>
      </c>
      <c r="J51">
        <f t="shared" si="4"/>
        <v>15.312253291218385</v>
      </c>
      <c r="K51">
        <f t="shared" si="0"/>
        <v>3.3257846014978578</v>
      </c>
      <c r="L51">
        <f t="shared" si="1"/>
        <v>4.1575154415719968</v>
      </c>
      <c r="M51">
        <f t="shared" si="2"/>
        <v>4.2172009623938669</v>
      </c>
      <c r="N51">
        <f t="shared" si="3"/>
        <v>18671.141452716351</v>
      </c>
    </row>
    <row r="52" spans="7:14" x14ac:dyDescent="0.25">
      <c r="G52">
        <v>50</v>
      </c>
      <c r="H52">
        <v>0.94159389253078885</v>
      </c>
      <c r="I52">
        <v>0.98351410704938846</v>
      </c>
      <c r="J52">
        <f t="shared" si="4"/>
        <v>18.890283958084989</v>
      </c>
      <c r="K52">
        <f t="shared" si="0"/>
        <v>3.5842091888887291</v>
      </c>
      <c r="L52">
        <f t="shared" si="1"/>
        <v>4.5309889951287268</v>
      </c>
      <c r="M52">
        <f t="shared" si="2"/>
        <v>4.5774985531113233</v>
      </c>
      <c r="N52">
        <f t="shared" si="3"/>
        <v>48319.216904493493</v>
      </c>
    </row>
    <row r="53" spans="7:14" x14ac:dyDescent="0.25">
      <c r="G53">
        <v>51</v>
      </c>
      <c r="H53">
        <v>0.56749672867107348</v>
      </c>
      <c r="I53">
        <v>0.42627587911618725</v>
      </c>
      <c r="J53">
        <f t="shared" si="4"/>
        <v>11.782437844750396</v>
      </c>
      <c r="K53">
        <f t="shared" si="0"/>
        <v>2.9978084675826446</v>
      </c>
      <c r="L53">
        <f t="shared" si="1"/>
        <v>3.3654939274412761</v>
      </c>
      <c r="M53">
        <f t="shared" si="2"/>
        <v>3.5204833055789084</v>
      </c>
      <c r="N53">
        <f t="shared" si="3"/>
        <v>3244.8163938820744</v>
      </c>
    </row>
    <row r="54" spans="7:14" x14ac:dyDescent="0.25">
      <c r="G54">
        <v>52</v>
      </c>
      <c r="H54">
        <v>0.66383150821645664</v>
      </c>
      <c r="I54">
        <v>0.16591933840477435</v>
      </c>
      <c r="J54">
        <f t="shared" si="4"/>
        <v>13.612798656112677</v>
      </c>
      <c r="K54">
        <f t="shared" si="0"/>
        <v>3.1793937998645756</v>
      </c>
      <c r="L54">
        <f t="shared" si="1"/>
        <v>3.877898965583352</v>
      </c>
      <c r="M54">
        <f t="shared" si="2"/>
        <v>3.9571577192928293</v>
      </c>
      <c r="N54">
        <f t="shared" si="3"/>
        <v>8102.8326452408992</v>
      </c>
    </row>
    <row r="55" spans="7:14" x14ac:dyDescent="0.25">
      <c r="G55">
        <v>53</v>
      </c>
      <c r="H55">
        <v>0.67703909364679371</v>
      </c>
      <c r="I55">
        <v>0.64069982964703687</v>
      </c>
      <c r="J55">
        <f t="shared" si="4"/>
        <v>13.86374277928908</v>
      </c>
      <c r="K55">
        <f t="shared" si="0"/>
        <v>3.202209491823484</v>
      </c>
      <c r="L55">
        <f t="shared" si="1"/>
        <v>3.9266035933253249</v>
      </c>
      <c r="M55">
        <f t="shared" si="2"/>
        <v>4.0016495083586303</v>
      </c>
      <c r="N55">
        <f t="shared" si="3"/>
        <v>10463.235737853336</v>
      </c>
    </row>
    <row r="56" spans="7:14" x14ac:dyDescent="0.25">
      <c r="G56">
        <v>54</v>
      </c>
      <c r="H56">
        <v>0.2174425598672548</v>
      </c>
      <c r="I56">
        <v>0.20097807911715504</v>
      </c>
      <c r="J56">
        <f t="shared" si="4"/>
        <v>5.1314086374778416</v>
      </c>
      <c r="K56">
        <f t="shared" si="0"/>
        <v>1.8868249737513723</v>
      </c>
      <c r="L56">
        <f t="shared" si="1"/>
        <v>0</v>
      </c>
      <c r="M56">
        <f t="shared" si="2"/>
        <v>1.8868249737513723</v>
      </c>
      <c r="N56">
        <f t="shared" si="3"/>
        <v>69.971041265926161</v>
      </c>
    </row>
    <row r="57" spans="7:14" x14ac:dyDescent="0.25">
      <c r="G57">
        <v>55</v>
      </c>
      <c r="H57">
        <v>0.58167871132565585</v>
      </c>
      <c r="I57">
        <v>0.66110486158187487</v>
      </c>
      <c r="J57">
        <f t="shared" si="4"/>
        <v>12.051895515187461</v>
      </c>
      <c r="K57">
        <f t="shared" si="0"/>
        <v>3.0263946198414775</v>
      </c>
      <c r="L57">
        <f t="shared" si="1"/>
        <v>3.467599143105613</v>
      </c>
      <c r="M57">
        <f t="shared" si="2"/>
        <v>3.6017993507973203</v>
      </c>
      <c r="N57">
        <f t="shared" si="3"/>
        <v>4193.4683512450974</v>
      </c>
    </row>
    <row r="58" spans="7:14" x14ac:dyDescent="0.25">
      <c r="G58">
        <v>56</v>
      </c>
      <c r="H58">
        <v>3.478650556559082E-2</v>
      </c>
      <c r="I58">
        <v>0.23984781660952981</v>
      </c>
      <c r="J58">
        <f t="shared" si="4"/>
        <v>1.6609436057462257</v>
      </c>
      <c r="K58">
        <f t="shared" si="0"/>
        <v>-0.23566502028535977</v>
      </c>
      <c r="L58">
        <f t="shared" si="1"/>
        <v>0</v>
      </c>
      <c r="M58">
        <f t="shared" si="2"/>
        <v>-0.23566502028535977</v>
      </c>
      <c r="N58">
        <f t="shared" si="3"/>
        <v>0.5357909461428445</v>
      </c>
    </row>
    <row r="59" spans="7:14" x14ac:dyDescent="0.25">
      <c r="G59">
        <v>57</v>
      </c>
      <c r="H59">
        <v>0.30475651334741549</v>
      </c>
      <c r="I59">
        <v>0.19974951249176376</v>
      </c>
      <c r="J59">
        <f t="shared" si="4"/>
        <v>6.7903737536008943</v>
      </c>
      <c r="K59">
        <f t="shared" si="0"/>
        <v>2.2777808245822646</v>
      </c>
      <c r="L59">
        <f t="shared" si="1"/>
        <v>0</v>
      </c>
      <c r="M59">
        <f t="shared" si="2"/>
        <v>2.2777808245822646</v>
      </c>
      <c r="N59">
        <f t="shared" si="3"/>
        <v>172.05013195792628</v>
      </c>
    </row>
    <row r="60" spans="7:14" x14ac:dyDescent="0.25">
      <c r="G60">
        <v>58</v>
      </c>
      <c r="H60">
        <v>0.69295851290633026</v>
      </c>
      <c r="I60">
        <v>0.50377270565068955</v>
      </c>
      <c r="J60">
        <f t="shared" si="4"/>
        <v>14.166211745220275</v>
      </c>
      <c r="K60">
        <f t="shared" si="0"/>
        <v>3.2291254595865437</v>
      </c>
      <c r="L60">
        <f t="shared" si="1"/>
        <v>3.9812679245737033</v>
      </c>
      <c r="M60">
        <f t="shared" si="2"/>
        <v>4.0520269854375313</v>
      </c>
      <c r="N60">
        <f t="shared" si="3"/>
        <v>11284.954984358672</v>
      </c>
    </row>
    <row r="61" spans="7:14" x14ac:dyDescent="0.25">
      <c r="G61">
        <v>59</v>
      </c>
      <c r="H61">
        <v>0.33056621123429497</v>
      </c>
      <c r="I61">
        <v>0.11810270313698756</v>
      </c>
      <c r="J61">
        <f t="shared" si="4"/>
        <v>7.2807580134516048</v>
      </c>
      <c r="K61">
        <f t="shared" si="0"/>
        <v>2.3719287283437183</v>
      </c>
      <c r="L61">
        <f t="shared" si="1"/>
        <v>0</v>
      </c>
      <c r="M61">
        <f t="shared" si="2"/>
        <v>2.3719287283437183</v>
      </c>
      <c r="N61">
        <f t="shared" si="3"/>
        <v>205.44827114688877</v>
      </c>
    </row>
    <row r="62" spans="7:14" x14ac:dyDescent="0.25">
      <c r="G62">
        <v>60</v>
      </c>
      <c r="H62">
        <v>0.41316457527720762</v>
      </c>
      <c r="I62">
        <v>0.16664808612546278</v>
      </c>
      <c r="J62">
        <f t="shared" si="4"/>
        <v>8.8501269302669456</v>
      </c>
      <c r="K62">
        <f t="shared" si="0"/>
        <v>2.6302343760008644</v>
      </c>
      <c r="L62">
        <f t="shared" si="1"/>
        <v>0</v>
      </c>
      <c r="M62">
        <f t="shared" si="2"/>
        <v>2.6302343760008644</v>
      </c>
      <c r="N62">
        <f t="shared" si="3"/>
        <v>381.82079647274975</v>
      </c>
    </row>
    <row r="63" spans="7:14" x14ac:dyDescent="0.25">
      <c r="G63">
        <v>61</v>
      </c>
      <c r="H63">
        <v>0.39599444321068478</v>
      </c>
      <c r="I63">
        <v>0.43894531688043281</v>
      </c>
      <c r="J63">
        <f t="shared" si="4"/>
        <v>8.5238944210030105</v>
      </c>
      <c r="K63">
        <f t="shared" si="0"/>
        <v>2.5810770791760413</v>
      </c>
      <c r="L63">
        <f t="shared" si="1"/>
        <v>0</v>
      </c>
      <c r="M63">
        <f t="shared" si="2"/>
        <v>2.5810770791760413</v>
      </c>
      <c r="N63">
        <f t="shared" si="3"/>
        <v>374.45091085228262</v>
      </c>
    </row>
    <row r="64" spans="7:14" x14ac:dyDescent="0.25">
      <c r="G64">
        <v>62</v>
      </c>
      <c r="H64">
        <v>7.4982506669254434E-3</v>
      </c>
      <c r="I64">
        <v>0.52680533528371731</v>
      </c>
      <c r="J64">
        <f t="shared" si="4"/>
        <v>1.1424667626715834</v>
      </c>
      <c r="K64">
        <f t="shared" si="0"/>
        <v>-2.0128672859377854</v>
      </c>
      <c r="L64">
        <f t="shared" si="1"/>
        <v>0</v>
      </c>
      <c r="M64">
        <f t="shared" si="2"/>
        <v>-2.0128672859377854</v>
      </c>
      <c r="N64">
        <f t="shared" si="3"/>
        <v>9.7835123256772398E-3</v>
      </c>
    </row>
    <row r="65" spans="7:14" x14ac:dyDescent="0.25">
      <c r="G65">
        <v>63</v>
      </c>
      <c r="H65">
        <v>0.66958240776120659</v>
      </c>
      <c r="I65">
        <v>0.81819528685772214</v>
      </c>
      <c r="J65">
        <f t="shared" si="4"/>
        <v>13.722065747462926</v>
      </c>
      <c r="K65">
        <f t="shared" si="0"/>
        <v>3.1893835938094854</v>
      </c>
      <c r="L65">
        <f t="shared" si="1"/>
        <v>3.8995092359359615</v>
      </c>
      <c r="M65">
        <f t="shared" si="2"/>
        <v>3.9768509951062385</v>
      </c>
      <c r="N65">
        <f t="shared" si="3"/>
        <v>10526.316860927875</v>
      </c>
    </row>
    <row r="66" spans="7:14" x14ac:dyDescent="0.25">
      <c r="G66">
        <v>64</v>
      </c>
      <c r="H66">
        <v>0.41364825617664869</v>
      </c>
      <c r="I66">
        <v>0.94726336972644753</v>
      </c>
      <c r="J66">
        <f t="shared" si="4"/>
        <v>8.8593168673563252</v>
      </c>
      <c r="K66">
        <f t="shared" si="0"/>
        <v>2.6315893620330124</v>
      </c>
      <c r="L66">
        <f t="shared" si="1"/>
        <v>0</v>
      </c>
      <c r="M66">
        <f t="shared" si="2"/>
        <v>2.6315893620330124</v>
      </c>
      <c r="N66">
        <f t="shared" si="3"/>
        <v>515.86174301073993</v>
      </c>
    </row>
    <row r="67" spans="7:14" x14ac:dyDescent="0.25">
      <c r="G67">
        <v>65</v>
      </c>
      <c r="H67">
        <v>0.35734502491256559</v>
      </c>
      <c r="I67">
        <v>0.95065698392424602</v>
      </c>
      <c r="J67">
        <f t="shared" si="4"/>
        <v>7.789555473338746</v>
      </c>
      <c r="K67">
        <f t="shared" ref="K67:K130" si="5">$E$7+$D$8*LOG10(J67-$D$6)</f>
        <v>2.4621401414149302</v>
      </c>
      <c r="L67">
        <f t="shared" ref="L67:L130" si="6">IF(J67&gt;=$D$14,$E$15+$D$16*LOG10(J67-$D$14), 0)</f>
        <v>0</v>
      </c>
      <c r="M67">
        <f t="shared" ref="M67:M130" si="7">IF(J67&lt;$D$14,K67,LOG10(10^K67+10^L67))</f>
        <v>2.4621401414149302</v>
      </c>
      <c r="N67">
        <f t="shared" ref="N67:N130" si="8">10^(M67+_xlfn.NORM.INV(I67, 0, $D$18))</f>
        <v>350.51209622475409</v>
      </c>
    </row>
    <row r="68" spans="7:14" x14ac:dyDescent="0.25">
      <c r="G68">
        <v>66</v>
      </c>
      <c r="H68">
        <v>0.67470996234028902</v>
      </c>
      <c r="I68">
        <v>0.53730585160871558</v>
      </c>
      <c r="J68">
        <f t="shared" ref="J68:J131" si="9">$D$6 + H68*(20-$D$6)</f>
        <v>13.819489284465492</v>
      </c>
      <c r="K68">
        <f t="shared" si="5"/>
        <v>3.1982184951391694</v>
      </c>
      <c r="L68">
        <f t="shared" si="6"/>
        <v>3.9182487328089985</v>
      </c>
      <c r="M68">
        <f t="shared" si="7"/>
        <v>3.9939900998426201</v>
      </c>
      <c r="N68">
        <f t="shared" si="8"/>
        <v>9969.4805444431258</v>
      </c>
    </row>
    <row r="69" spans="7:14" x14ac:dyDescent="0.25">
      <c r="G69">
        <v>67</v>
      </c>
      <c r="H69">
        <v>0.75725274148855837</v>
      </c>
      <c r="I69">
        <v>0.4822689820167636</v>
      </c>
      <c r="J69">
        <f t="shared" si="9"/>
        <v>15.387802088282609</v>
      </c>
      <c r="K69">
        <f t="shared" si="5"/>
        <v>3.331881779319593</v>
      </c>
      <c r="L69">
        <f t="shared" si="6"/>
        <v>4.1677573178034422</v>
      </c>
      <c r="M69">
        <f t="shared" si="7"/>
        <v>4.22691284476024</v>
      </c>
      <c r="N69">
        <f t="shared" si="8"/>
        <v>16776.055687201027</v>
      </c>
    </row>
    <row r="70" spans="7:14" x14ac:dyDescent="0.25">
      <c r="G70">
        <v>68</v>
      </c>
      <c r="H70">
        <v>0.57498539008842908</v>
      </c>
      <c r="I70">
        <v>1.7168059213701348E-5</v>
      </c>
      <c r="J70">
        <f t="shared" si="9"/>
        <v>11.924722411680152</v>
      </c>
      <c r="K70">
        <f t="shared" si="5"/>
        <v>3.012990993912017</v>
      </c>
      <c r="L70">
        <f t="shared" si="6"/>
        <v>3.4211946210974116</v>
      </c>
      <c r="M70">
        <f t="shared" si="7"/>
        <v>3.5644148614044124</v>
      </c>
      <c r="N70">
        <f t="shared" si="8"/>
        <v>2276.5850560374288</v>
      </c>
    </row>
    <row r="71" spans="7:14" x14ac:dyDescent="0.25">
      <c r="G71">
        <v>69</v>
      </c>
      <c r="H71">
        <v>0.95204731658361863</v>
      </c>
      <c r="I71">
        <v>0.68551449902403128</v>
      </c>
      <c r="J71">
        <f t="shared" si="9"/>
        <v>19.088899015088753</v>
      </c>
      <c r="K71">
        <f t="shared" si="5"/>
        <v>3.5969955899654926</v>
      </c>
      <c r="L71">
        <f t="shared" si="6"/>
        <v>4.5470137229743832</v>
      </c>
      <c r="M71">
        <f t="shared" si="7"/>
        <v>4.5931955050513471</v>
      </c>
      <c r="N71">
        <f t="shared" si="8"/>
        <v>41433.754555280982</v>
      </c>
    </row>
    <row r="72" spans="7:14" x14ac:dyDescent="0.25">
      <c r="G72">
        <v>70</v>
      </c>
      <c r="H72">
        <v>0.12509989147409295</v>
      </c>
      <c r="I72">
        <v>0.44672126451432925</v>
      </c>
      <c r="J72">
        <f t="shared" si="9"/>
        <v>3.3768979380077662</v>
      </c>
      <c r="K72">
        <f t="shared" si="5"/>
        <v>1.2465913223843526</v>
      </c>
      <c r="L72">
        <f t="shared" si="6"/>
        <v>0</v>
      </c>
      <c r="M72">
        <f t="shared" si="7"/>
        <v>1.2465913223843526</v>
      </c>
      <c r="N72">
        <f t="shared" si="8"/>
        <v>17.373761233595815</v>
      </c>
    </row>
    <row r="73" spans="7:14" x14ac:dyDescent="0.25">
      <c r="G73">
        <v>71</v>
      </c>
      <c r="H73">
        <v>0.93876592366808043</v>
      </c>
      <c r="I73">
        <v>0.87509794389141182</v>
      </c>
      <c r="J73">
        <f t="shared" si="9"/>
        <v>18.836552549693529</v>
      </c>
      <c r="K73">
        <f t="shared" si="5"/>
        <v>3.580725679154825</v>
      </c>
      <c r="L73">
        <f t="shared" si="6"/>
        <v>4.5265922722514551</v>
      </c>
      <c r="M73">
        <f t="shared" si="7"/>
        <v>4.5731946612406009</v>
      </c>
      <c r="N73">
        <f t="shared" si="8"/>
        <v>42730.298481213074</v>
      </c>
    </row>
    <row r="74" spans="7:14" x14ac:dyDescent="0.25">
      <c r="G74">
        <v>72</v>
      </c>
      <c r="H74">
        <v>0.50457304829827843</v>
      </c>
      <c r="I74">
        <v>0.81796142740662636</v>
      </c>
      <c r="J74">
        <f t="shared" si="9"/>
        <v>10.586887917667291</v>
      </c>
      <c r="K74">
        <f t="shared" si="5"/>
        <v>2.8617036319377536</v>
      </c>
      <c r="L74">
        <f t="shared" si="6"/>
        <v>2.5597870203438591</v>
      </c>
      <c r="M74">
        <f t="shared" si="7"/>
        <v>3.037499553419384</v>
      </c>
      <c r="N74">
        <f t="shared" si="8"/>
        <v>1210.2657166579654</v>
      </c>
    </row>
    <row r="75" spans="7:14" x14ac:dyDescent="0.25">
      <c r="G75">
        <v>73</v>
      </c>
      <c r="H75">
        <v>0.22277153571574937</v>
      </c>
      <c r="I75">
        <v>0.17420235369156989</v>
      </c>
      <c r="J75">
        <f t="shared" si="9"/>
        <v>5.2326591785992385</v>
      </c>
      <c r="K75">
        <f t="shared" si="5"/>
        <v>1.9148653645494791</v>
      </c>
      <c r="L75">
        <f t="shared" si="6"/>
        <v>0</v>
      </c>
      <c r="M75">
        <f t="shared" si="7"/>
        <v>1.9148653645494791</v>
      </c>
      <c r="N75">
        <f t="shared" si="8"/>
        <v>73.787187718676932</v>
      </c>
    </row>
    <row r="76" spans="7:14" x14ac:dyDescent="0.25">
      <c r="G76">
        <v>74</v>
      </c>
      <c r="H76">
        <v>0.29631252159123933</v>
      </c>
      <c r="I76">
        <v>0.94184436125740545</v>
      </c>
      <c r="J76">
        <f t="shared" si="9"/>
        <v>6.6299379102335472</v>
      </c>
      <c r="K76">
        <f t="shared" si="5"/>
        <v>2.2452395127083147</v>
      </c>
      <c r="L76">
        <f t="shared" si="6"/>
        <v>0</v>
      </c>
      <c r="M76">
        <f t="shared" si="7"/>
        <v>2.2452395127083147</v>
      </c>
      <c r="N76">
        <f t="shared" si="8"/>
        <v>210.74721125023902</v>
      </c>
    </row>
    <row r="77" spans="7:14" x14ac:dyDescent="0.25">
      <c r="G77">
        <v>75</v>
      </c>
      <c r="H77">
        <v>0.43555536698595576</v>
      </c>
      <c r="I77">
        <v>0.95915401211560847</v>
      </c>
      <c r="J77">
        <f t="shared" si="9"/>
        <v>9.2755519727331599</v>
      </c>
      <c r="K77">
        <f t="shared" si="5"/>
        <v>2.6913551533721409</v>
      </c>
      <c r="L77">
        <f t="shared" si="6"/>
        <v>0</v>
      </c>
      <c r="M77">
        <f t="shared" si="7"/>
        <v>2.6913551533721409</v>
      </c>
      <c r="N77">
        <f t="shared" si="8"/>
        <v>600.34757150002508</v>
      </c>
    </row>
    <row r="78" spans="7:14" x14ac:dyDescent="0.25">
      <c r="G78">
        <v>76</v>
      </c>
      <c r="H78">
        <v>0.50379356146519261</v>
      </c>
      <c r="I78">
        <v>0.93285395153738915</v>
      </c>
      <c r="J78">
        <f t="shared" si="9"/>
        <v>10.572077667838659</v>
      </c>
      <c r="K78">
        <f t="shared" si="5"/>
        <v>2.8599131355344145</v>
      </c>
      <c r="L78">
        <f t="shared" si="6"/>
        <v>2.5412497294910974</v>
      </c>
      <c r="M78">
        <f t="shared" si="7"/>
        <v>3.0302057796822255</v>
      </c>
      <c r="N78">
        <f t="shared" si="8"/>
        <v>1273.723683978772</v>
      </c>
    </row>
    <row r="79" spans="7:14" x14ac:dyDescent="0.25">
      <c r="G79">
        <v>77</v>
      </c>
      <c r="H79">
        <v>0.50629574861169435</v>
      </c>
      <c r="I79">
        <v>0.61101133642994854</v>
      </c>
      <c r="J79">
        <f t="shared" si="9"/>
        <v>10.619619223622193</v>
      </c>
      <c r="K79">
        <f t="shared" si="5"/>
        <v>2.8656509161835504</v>
      </c>
      <c r="L79">
        <f t="shared" si="6"/>
        <v>2.5991484435672394</v>
      </c>
      <c r="M79">
        <f t="shared" si="7"/>
        <v>3.0535589918485737</v>
      </c>
      <c r="N79">
        <f t="shared" si="8"/>
        <v>1168.5755268092917</v>
      </c>
    </row>
    <row r="80" spans="7:14" x14ac:dyDescent="0.25">
      <c r="G80">
        <v>78</v>
      </c>
      <c r="H80">
        <v>0.93701211991402478</v>
      </c>
      <c r="I80">
        <v>0.22783409654961317</v>
      </c>
      <c r="J80">
        <f t="shared" si="9"/>
        <v>18.80323027836647</v>
      </c>
      <c r="K80">
        <f t="shared" si="5"/>
        <v>3.5785600568634166</v>
      </c>
      <c r="L80">
        <f t="shared" si="6"/>
        <v>4.5238521328539161</v>
      </c>
      <c r="M80">
        <f t="shared" si="7"/>
        <v>4.5705130132444038</v>
      </c>
      <c r="N80">
        <f t="shared" si="8"/>
        <v>34136.035197070138</v>
      </c>
    </row>
    <row r="81" spans="7:14" x14ac:dyDescent="0.25">
      <c r="G81">
        <v>79</v>
      </c>
      <c r="H81">
        <v>0.76134928799312407</v>
      </c>
      <c r="I81">
        <v>0.37497284509465501</v>
      </c>
      <c r="J81">
        <f t="shared" si="9"/>
        <v>15.465636471869358</v>
      </c>
      <c r="K81">
        <f t="shared" si="5"/>
        <v>3.338130023683815</v>
      </c>
      <c r="L81">
        <f t="shared" si="6"/>
        <v>4.1781599288763154</v>
      </c>
      <c r="M81">
        <f t="shared" si="7"/>
        <v>4.2367886366029559</v>
      </c>
      <c r="N81">
        <f t="shared" si="8"/>
        <v>16628.500497659541</v>
      </c>
    </row>
    <row r="82" spans="7:14" x14ac:dyDescent="0.25">
      <c r="G82">
        <v>80</v>
      </c>
      <c r="H82">
        <v>0.23261140883134346</v>
      </c>
      <c r="I82">
        <v>0.55705825059976233</v>
      </c>
      <c r="J82">
        <f t="shared" si="9"/>
        <v>5.4196167677955254</v>
      </c>
      <c r="K82">
        <f t="shared" si="5"/>
        <v>1.9649221989347754</v>
      </c>
      <c r="L82">
        <f t="shared" si="6"/>
        <v>0</v>
      </c>
      <c r="M82">
        <f t="shared" si="7"/>
        <v>1.9649221989347754</v>
      </c>
      <c r="N82">
        <f t="shared" si="8"/>
        <v>93.777347998930068</v>
      </c>
    </row>
    <row r="83" spans="7:14" x14ac:dyDescent="0.25">
      <c r="G83">
        <v>81</v>
      </c>
      <c r="H83">
        <v>0.54772072030309504</v>
      </c>
      <c r="I83">
        <v>0.97518053928473225</v>
      </c>
      <c r="J83">
        <f t="shared" si="9"/>
        <v>11.406693685758805</v>
      </c>
      <c r="K83">
        <f t="shared" si="5"/>
        <v>2.9567306228781156</v>
      </c>
      <c r="L83">
        <f t="shared" si="6"/>
        <v>3.1937931170883549</v>
      </c>
      <c r="M83">
        <f t="shared" si="7"/>
        <v>3.3922702159137241</v>
      </c>
      <c r="N83">
        <f t="shared" si="8"/>
        <v>3093.3092264313095</v>
      </c>
    </row>
    <row r="84" spans="7:14" x14ac:dyDescent="0.25">
      <c r="G84">
        <v>82</v>
      </c>
      <c r="H84">
        <v>0.30217665253979009</v>
      </c>
      <c r="I84">
        <v>0.94913368458248859</v>
      </c>
      <c r="J84">
        <f t="shared" si="9"/>
        <v>6.7413563982560119</v>
      </c>
      <c r="K84">
        <f t="shared" si="5"/>
        <v>2.2679352501539709</v>
      </c>
      <c r="L84">
        <f t="shared" si="6"/>
        <v>0</v>
      </c>
      <c r="M84">
        <f t="shared" si="7"/>
        <v>2.2679352501539709</v>
      </c>
      <c r="N84">
        <f t="shared" si="8"/>
        <v>223.74885069722453</v>
      </c>
    </row>
    <row r="85" spans="7:14" x14ac:dyDescent="0.25">
      <c r="G85">
        <v>83</v>
      </c>
      <c r="H85">
        <v>0.89597889854945501</v>
      </c>
      <c r="I85">
        <v>0.40037320937295284</v>
      </c>
      <c r="J85">
        <f t="shared" si="9"/>
        <v>18.023599072439644</v>
      </c>
      <c r="K85">
        <f t="shared" si="5"/>
        <v>3.5267002521290833</v>
      </c>
      <c r="L85">
        <f t="shared" si="6"/>
        <v>4.456596485111894</v>
      </c>
      <c r="M85">
        <f t="shared" si="7"/>
        <v>4.5048509465121525</v>
      </c>
      <c r="N85">
        <f t="shared" si="8"/>
        <v>31062.176691358974</v>
      </c>
    </row>
    <row r="86" spans="7:14" x14ac:dyDescent="0.25">
      <c r="G86">
        <v>84</v>
      </c>
      <c r="H86">
        <v>7.4921975790551376E-2</v>
      </c>
      <c r="I86">
        <v>0.58238978687229148</v>
      </c>
      <c r="J86">
        <f t="shared" si="9"/>
        <v>2.4235175400204763</v>
      </c>
      <c r="K86">
        <f t="shared" si="5"/>
        <v>0.65286409260040901</v>
      </c>
      <c r="L86">
        <f t="shared" si="6"/>
        <v>0</v>
      </c>
      <c r="M86">
        <f t="shared" si="7"/>
        <v>0.65286409260040901</v>
      </c>
      <c r="N86">
        <f t="shared" si="8"/>
        <v>4.6053711871965861</v>
      </c>
    </row>
    <row r="87" spans="7:14" x14ac:dyDescent="0.25">
      <c r="G87">
        <v>85</v>
      </c>
      <c r="H87">
        <v>0.16294270368689856</v>
      </c>
      <c r="I87">
        <v>0.31995440028974753</v>
      </c>
      <c r="J87">
        <f t="shared" si="9"/>
        <v>4.0959113700510725</v>
      </c>
      <c r="K87">
        <f t="shared" si="5"/>
        <v>1.552665949820921</v>
      </c>
      <c r="L87">
        <f t="shared" si="6"/>
        <v>0</v>
      </c>
      <c r="M87">
        <f t="shared" si="7"/>
        <v>1.552665949820921</v>
      </c>
      <c r="N87">
        <f t="shared" si="8"/>
        <v>33.827868530704343</v>
      </c>
    </row>
    <row r="88" spans="7:14" x14ac:dyDescent="0.25">
      <c r="G88">
        <v>86</v>
      </c>
      <c r="H88">
        <v>0.63020875107454899</v>
      </c>
      <c r="I88">
        <v>9.5830024429096605E-2</v>
      </c>
      <c r="J88">
        <f t="shared" si="9"/>
        <v>12.973966270416431</v>
      </c>
      <c r="K88">
        <f t="shared" si="5"/>
        <v>3.1191979798593232</v>
      </c>
      <c r="L88">
        <f t="shared" si="6"/>
        <v>3.7367710730437032</v>
      </c>
      <c r="M88">
        <f t="shared" si="7"/>
        <v>3.8306224797221167</v>
      </c>
      <c r="N88">
        <f t="shared" si="8"/>
        <v>5825.5680648151101</v>
      </c>
    </row>
    <row r="89" spans="7:14" x14ac:dyDescent="0.25">
      <c r="G89">
        <v>87</v>
      </c>
      <c r="H89">
        <v>0.94435851363743406</v>
      </c>
      <c r="I89">
        <v>0.66511338467833381</v>
      </c>
      <c r="J89">
        <f t="shared" si="9"/>
        <v>18.942811759111247</v>
      </c>
      <c r="K89">
        <f t="shared" si="5"/>
        <v>3.5876045677534014</v>
      </c>
      <c r="L89">
        <f t="shared" si="6"/>
        <v>4.5352616175363254</v>
      </c>
      <c r="M89">
        <f t="shared" si="7"/>
        <v>4.5816821659347617</v>
      </c>
      <c r="N89">
        <f t="shared" si="8"/>
        <v>40087.14516538757</v>
      </c>
    </row>
    <row r="90" spans="7:14" x14ac:dyDescent="0.25">
      <c r="G90">
        <v>88</v>
      </c>
      <c r="H90">
        <v>0.85709825640796922</v>
      </c>
      <c r="I90">
        <v>0.99600739194318322</v>
      </c>
      <c r="J90">
        <f t="shared" si="9"/>
        <v>17.284866871751415</v>
      </c>
      <c r="K90">
        <f t="shared" si="5"/>
        <v>3.4753211322043374</v>
      </c>
      <c r="L90">
        <f t="shared" si="6"/>
        <v>4.3865439933050894</v>
      </c>
      <c r="M90">
        <f t="shared" si="7"/>
        <v>4.4368003477031861</v>
      </c>
      <c r="N90">
        <f t="shared" si="8"/>
        <v>37105.224307523858</v>
      </c>
    </row>
    <row r="91" spans="7:14" x14ac:dyDescent="0.25">
      <c r="G91">
        <v>89</v>
      </c>
      <c r="H91">
        <v>0.22729170069698812</v>
      </c>
      <c r="I91">
        <v>0.79113315827038777</v>
      </c>
      <c r="J91">
        <f t="shared" si="9"/>
        <v>5.3185423132427747</v>
      </c>
      <c r="K91">
        <f t="shared" si="5"/>
        <v>1.9381290431808484</v>
      </c>
      <c r="L91">
        <f t="shared" si="6"/>
        <v>0</v>
      </c>
      <c r="M91">
        <f t="shared" si="7"/>
        <v>1.9381290431808484</v>
      </c>
      <c r="N91">
        <f t="shared" si="8"/>
        <v>95.202205557597239</v>
      </c>
    </row>
    <row r="92" spans="7:14" x14ac:dyDescent="0.25">
      <c r="G92">
        <v>90</v>
      </c>
      <c r="H92">
        <v>0.14067367285836208</v>
      </c>
      <c r="I92">
        <v>0.37251335247239969</v>
      </c>
      <c r="J92">
        <f t="shared" si="9"/>
        <v>3.6727997843088795</v>
      </c>
      <c r="K92">
        <f t="shared" si="5"/>
        <v>1.3824737055663867</v>
      </c>
      <c r="L92">
        <f t="shared" si="6"/>
        <v>0</v>
      </c>
      <c r="M92">
        <f t="shared" si="7"/>
        <v>1.3824737055663867</v>
      </c>
      <c r="N92">
        <f t="shared" si="8"/>
        <v>23.238789770027008</v>
      </c>
    </row>
    <row r="93" spans="7:14" x14ac:dyDescent="0.25">
      <c r="G93">
        <v>91</v>
      </c>
      <c r="H93">
        <v>0.5040133320479101</v>
      </c>
      <c r="I93">
        <v>0.84328573276333885</v>
      </c>
      <c r="J93">
        <f t="shared" si="9"/>
        <v>10.576253308910292</v>
      </c>
      <c r="K93">
        <f t="shared" si="5"/>
        <v>2.86041823310677</v>
      </c>
      <c r="L93">
        <f t="shared" si="6"/>
        <v>2.5465243202876566</v>
      </c>
      <c r="M93">
        <f t="shared" si="7"/>
        <v>3.0322637163767956</v>
      </c>
      <c r="N93">
        <f t="shared" si="8"/>
        <v>1209.6686258456687</v>
      </c>
    </row>
    <row r="94" spans="7:14" x14ac:dyDescent="0.25">
      <c r="G94">
        <v>92</v>
      </c>
      <c r="H94">
        <v>0.40217921041116711</v>
      </c>
      <c r="I94">
        <v>0.22822747725575265</v>
      </c>
      <c r="J94">
        <f t="shared" si="9"/>
        <v>8.6414049978121739</v>
      </c>
      <c r="K94">
        <f t="shared" si="5"/>
        <v>2.5990251469208534</v>
      </c>
      <c r="L94">
        <f t="shared" si="6"/>
        <v>0</v>
      </c>
      <c r="M94">
        <f t="shared" si="7"/>
        <v>2.5990251469208534</v>
      </c>
      <c r="N94">
        <f t="shared" si="8"/>
        <v>364.57786751704361</v>
      </c>
    </row>
    <row r="95" spans="7:14" x14ac:dyDescent="0.25">
      <c r="G95">
        <v>93</v>
      </c>
      <c r="H95">
        <v>0.69788785045845714</v>
      </c>
      <c r="I95">
        <v>0.33392546621002461</v>
      </c>
      <c r="J95">
        <f t="shared" si="9"/>
        <v>14.259869158710686</v>
      </c>
      <c r="K95">
        <f t="shared" si="5"/>
        <v>3.2373345352233072</v>
      </c>
      <c r="L95">
        <f t="shared" si="6"/>
        <v>3.9973916427822056</v>
      </c>
      <c r="M95">
        <f t="shared" si="7"/>
        <v>4.0669699243614188</v>
      </c>
      <c r="N95">
        <f t="shared" si="8"/>
        <v>11104.907806148674</v>
      </c>
    </row>
    <row r="96" spans="7:14" x14ac:dyDescent="0.25">
      <c r="G96">
        <v>94</v>
      </c>
      <c r="H96">
        <v>2.447996218969295E-2</v>
      </c>
      <c r="I96">
        <v>0.28017831519582403</v>
      </c>
      <c r="J96">
        <f t="shared" si="9"/>
        <v>1.465119281604166</v>
      </c>
      <c r="K96">
        <f t="shared" si="5"/>
        <v>-0.64259851827875147</v>
      </c>
      <c r="L96">
        <f t="shared" si="6"/>
        <v>0</v>
      </c>
      <c r="M96">
        <f t="shared" si="7"/>
        <v>-0.64259851827875147</v>
      </c>
      <c r="N96">
        <f t="shared" si="8"/>
        <v>0.21295404222902622</v>
      </c>
    </row>
    <row r="97" spans="7:14" x14ac:dyDescent="0.25">
      <c r="G97">
        <v>95</v>
      </c>
      <c r="H97">
        <v>0.55029612983648746</v>
      </c>
      <c r="I97">
        <v>0.15348353662920489</v>
      </c>
      <c r="J97">
        <f t="shared" si="9"/>
        <v>11.455626466893262</v>
      </c>
      <c r="K97">
        <f t="shared" si="5"/>
        <v>2.9621633905079596</v>
      </c>
      <c r="L97">
        <f t="shared" si="6"/>
        <v>3.2185932942640574</v>
      </c>
      <c r="M97">
        <f t="shared" si="7"/>
        <v>3.4100658178367595</v>
      </c>
      <c r="N97">
        <f t="shared" si="8"/>
        <v>2285.5223972336935</v>
      </c>
    </row>
    <row r="98" spans="7:14" x14ac:dyDescent="0.25">
      <c r="G98">
        <v>96</v>
      </c>
      <c r="H98">
        <v>0.43835963350991991</v>
      </c>
      <c r="I98">
        <v>0.1229976060938377</v>
      </c>
      <c r="J98">
        <f t="shared" si="9"/>
        <v>9.3288330366884775</v>
      </c>
      <c r="K98">
        <f t="shared" si="5"/>
        <v>2.6987876483343194</v>
      </c>
      <c r="L98">
        <f t="shared" si="6"/>
        <v>0</v>
      </c>
      <c r="M98">
        <f t="shared" si="7"/>
        <v>2.6987876483343194</v>
      </c>
      <c r="N98">
        <f t="shared" si="8"/>
        <v>437.30159977472351</v>
      </c>
    </row>
    <row r="99" spans="7:14" x14ac:dyDescent="0.25">
      <c r="G99">
        <v>97</v>
      </c>
      <c r="H99">
        <v>9.3198500639711246E-2</v>
      </c>
      <c r="I99">
        <v>0.96630739703130075</v>
      </c>
      <c r="J99">
        <f t="shared" si="9"/>
        <v>2.7707715121545138</v>
      </c>
      <c r="K99">
        <f t="shared" si="5"/>
        <v>0.90566330271400031</v>
      </c>
      <c r="L99">
        <f t="shared" si="6"/>
        <v>0</v>
      </c>
      <c r="M99">
        <f t="shared" si="7"/>
        <v>0.90566330271400031</v>
      </c>
      <c r="N99">
        <f t="shared" si="8"/>
        <v>9.9338617158348157</v>
      </c>
    </row>
    <row r="100" spans="7:14" x14ac:dyDescent="0.25">
      <c r="G100">
        <v>98</v>
      </c>
      <c r="H100">
        <v>0.33231760901836938</v>
      </c>
      <c r="I100">
        <v>0.70771737896001563</v>
      </c>
      <c r="J100">
        <f t="shared" si="9"/>
        <v>7.3140345713490182</v>
      </c>
      <c r="K100">
        <f t="shared" si="5"/>
        <v>2.3780484465799834</v>
      </c>
      <c r="L100">
        <f t="shared" si="6"/>
        <v>0</v>
      </c>
      <c r="M100">
        <f t="shared" si="7"/>
        <v>2.3780484465799834</v>
      </c>
      <c r="N100">
        <f t="shared" si="8"/>
        <v>254.32255249124472</v>
      </c>
    </row>
    <row r="101" spans="7:14" x14ac:dyDescent="0.25">
      <c r="G101">
        <v>99</v>
      </c>
      <c r="H101">
        <v>0.2465398785396502</v>
      </c>
      <c r="I101">
        <v>0.96405488380398863</v>
      </c>
      <c r="J101">
        <f t="shared" si="9"/>
        <v>5.6842576922533539</v>
      </c>
      <c r="K101">
        <f t="shared" si="5"/>
        <v>2.0322719750483098</v>
      </c>
      <c r="L101">
        <f t="shared" si="6"/>
        <v>0</v>
      </c>
      <c r="M101">
        <f t="shared" si="7"/>
        <v>2.0322719750483098</v>
      </c>
      <c r="N101">
        <f t="shared" si="8"/>
        <v>132.51425688669488</v>
      </c>
    </row>
    <row r="102" spans="7:14" x14ac:dyDescent="0.25">
      <c r="G102">
        <v>100</v>
      </c>
      <c r="H102">
        <v>0.9749131734073827</v>
      </c>
      <c r="I102">
        <v>0.92763473127227281</v>
      </c>
      <c r="J102">
        <f t="shared" si="9"/>
        <v>19.523350294740272</v>
      </c>
      <c r="K102">
        <f t="shared" si="5"/>
        <v>3.6244820046497477</v>
      </c>
      <c r="L102">
        <f t="shared" si="6"/>
        <v>4.5808787863525744</v>
      </c>
      <c r="M102">
        <f t="shared" si="7"/>
        <v>4.6264213299231507</v>
      </c>
      <c r="N102">
        <f t="shared" si="8"/>
        <v>50042.764185529806</v>
      </c>
    </row>
    <row r="103" spans="7:14" x14ac:dyDescent="0.25">
      <c r="G103">
        <v>101</v>
      </c>
      <c r="H103">
        <v>0.83617022506468841</v>
      </c>
      <c r="I103">
        <v>0.79908414563036212</v>
      </c>
      <c r="J103">
        <f t="shared" si="9"/>
        <v>16.88723427622908</v>
      </c>
      <c r="K103">
        <f t="shared" si="5"/>
        <v>3.4466920314255467</v>
      </c>
      <c r="L103">
        <f t="shared" si="6"/>
        <v>4.3458347984179371</v>
      </c>
      <c r="M103">
        <f t="shared" si="7"/>
        <v>4.3974276766760587</v>
      </c>
      <c r="N103">
        <f t="shared" si="8"/>
        <v>27500.804273447775</v>
      </c>
    </row>
    <row r="104" spans="7:14" x14ac:dyDescent="0.25">
      <c r="G104">
        <v>102</v>
      </c>
      <c r="H104">
        <v>0.6736482517746849</v>
      </c>
      <c r="I104">
        <v>0.58079323459138277</v>
      </c>
      <c r="J104">
        <f t="shared" si="9"/>
        <v>13.799316783719012</v>
      </c>
      <c r="K104">
        <f t="shared" si="5"/>
        <v>3.1963946667015382</v>
      </c>
      <c r="L104">
        <f t="shared" si="6"/>
        <v>3.9144080838469604</v>
      </c>
      <c r="M104">
        <f t="shared" si="7"/>
        <v>3.9904728529071889</v>
      </c>
      <c r="N104">
        <f t="shared" si="8"/>
        <v>10015.41643933749</v>
      </c>
    </row>
    <row r="105" spans="7:14" x14ac:dyDescent="0.25">
      <c r="G105">
        <v>103</v>
      </c>
      <c r="H105">
        <v>0.19107072618927967</v>
      </c>
      <c r="I105">
        <v>0.90986412042322684</v>
      </c>
      <c r="J105">
        <f t="shared" si="9"/>
        <v>4.6303437975963142</v>
      </c>
      <c r="K105">
        <f t="shared" si="5"/>
        <v>1.7370905790893849</v>
      </c>
      <c r="L105">
        <f t="shared" si="6"/>
        <v>0</v>
      </c>
      <c r="M105">
        <f t="shared" si="7"/>
        <v>1.7370905790893849</v>
      </c>
      <c r="N105">
        <f t="shared" si="8"/>
        <v>63.69223912756496</v>
      </c>
    </row>
    <row r="106" spans="7:14" x14ac:dyDescent="0.25">
      <c r="G106">
        <v>104</v>
      </c>
      <c r="H106">
        <v>0.86924625198987227</v>
      </c>
      <c r="I106">
        <v>0.74867389449785504</v>
      </c>
      <c r="J106">
        <f t="shared" si="9"/>
        <v>17.515678787807573</v>
      </c>
      <c r="K106">
        <f t="shared" si="5"/>
        <v>3.491620372609082</v>
      </c>
      <c r="L106">
        <f t="shared" si="6"/>
        <v>4.4091668001567168</v>
      </c>
      <c r="M106">
        <f t="shared" si="7"/>
        <v>4.4587366109109672</v>
      </c>
      <c r="N106">
        <f t="shared" si="8"/>
        <v>31063.66808725478</v>
      </c>
    </row>
    <row r="107" spans="7:14" x14ac:dyDescent="0.25">
      <c r="G107">
        <v>105</v>
      </c>
      <c r="H107">
        <v>0.69227330499434947</v>
      </c>
      <c r="I107">
        <v>0.42472391994689107</v>
      </c>
      <c r="J107">
        <f t="shared" si="9"/>
        <v>14.153192794892639</v>
      </c>
      <c r="K107">
        <f t="shared" si="5"/>
        <v>3.2279797277389011</v>
      </c>
      <c r="L107">
        <f t="shared" si="6"/>
        <v>3.9789979820550485</v>
      </c>
      <c r="M107">
        <f t="shared" si="7"/>
        <v>4.0499262520505166</v>
      </c>
      <c r="N107">
        <f t="shared" si="8"/>
        <v>10975.772649437993</v>
      </c>
    </row>
    <row r="108" spans="7:14" x14ac:dyDescent="0.25">
      <c r="G108">
        <v>106</v>
      </c>
      <c r="H108">
        <v>0.93451127007789514</v>
      </c>
      <c r="I108">
        <v>0.77920803668350336</v>
      </c>
      <c r="J108">
        <f t="shared" si="9"/>
        <v>18.755714131480008</v>
      </c>
      <c r="K108">
        <f t="shared" si="5"/>
        <v>3.5754649499612814</v>
      </c>
      <c r="L108">
        <f t="shared" si="6"/>
        <v>4.5199268166190114</v>
      </c>
      <c r="M108">
        <f t="shared" si="7"/>
        <v>4.5666723432164353</v>
      </c>
      <c r="N108">
        <f t="shared" si="8"/>
        <v>40285.467362838943</v>
      </c>
    </row>
    <row r="109" spans="7:14" x14ac:dyDescent="0.25">
      <c r="G109">
        <v>107</v>
      </c>
      <c r="H109">
        <v>0.15985845197345805</v>
      </c>
      <c r="I109">
        <v>0.82022910187903852</v>
      </c>
      <c r="J109">
        <f t="shared" si="9"/>
        <v>4.0373105874957034</v>
      </c>
      <c r="K109">
        <f t="shared" si="5"/>
        <v>1.5305344427188627</v>
      </c>
      <c r="L109">
        <f t="shared" si="6"/>
        <v>0</v>
      </c>
      <c r="M109">
        <f t="shared" si="7"/>
        <v>1.5305344427188627</v>
      </c>
      <c r="N109">
        <f t="shared" si="8"/>
        <v>37.700435727825017</v>
      </c>
    </row>
    <row r="110" spans="7:14" x14ac:dyDescent="0.25">
      <c r="G110">
        <v>108</v>
      </c>
      <c r="H110">
        <v>0.65861161358658105</v>
      </c>
      <c r="I110">
        <v>0.71157211994541758</v>
      </c>
      <c r="J110">
        <f t="shared" si="9"/>
        <v>13.51362065814504</v>
      </c>
      <c r="K110">
        <f t="shared" si="5"/>
        <v>3.1702511933466897</v>
      </c>
      <c r="L110">
        <f t="shared" si="6"/>
        <v>3.8577105245546668</v>
      </c>
      <c r="M110">
        <f t="shared" si="7"/>
        <v>3.938831527387948</v>
      </c>
      <c r="N110">
        <f t="shared" si="8"/>
        <v>9262.5527528175662</v>
      </c>
    </row>
    <row r="111" spans="7:14" x14ac:dyDescent="0.25">
      <c r="G111">
        <v>109</v>
      </c>
      <c r="H111">
        <v>0.77427658387326337</v>
      </c>
      <c r="I111">
        <v>0.30809108006447283</v>
      </c>
      <c r="J111">
        <f t="shared" si="9"/>
        <v>15.711255093592005</v>
      </c>
      <c r="K111">
        <f t="shared" si="5"/>
        <v>3.3576291686151771</v>
      </c>
      <c r="L111">
        <f t="shared" si="6"/>
        <v>4.2100415910722289</v>
      </c>
      <c r="M111">
        <f t="shared" si="7"/>
        <v>4.2671259488180828</v>
      </c>
      <c r="N111">
        <f t="shared" si="8"/>
        <v>17460.735076155266</v>
      </c>
    </row>
    <row r="112" spans="7:14" x14ac:dyDescent="0.25">
      <c r="G112">
        <v>110</v>
      </c>
      <c r="H112">
        <v>0.79829916704826576</v>
      </c>
      <c r="I112">
        <v>0.26781557983347826</v>
      </c>
      <c r="J112">
        <f t="shared" si="9"/>
        <v>16.167684173917049</v>
      </c>
      <c r="K112">
        <f t="shared" si="5"/>
        <v>3.3930146375521164</v>
      </c>
      <c r="L112">
        <f t="shared" si="6"/>
        <v>4.2658038404372531</v>
      </c>
      <c r="M112">
        <f t="shared" si="7"/>
        <v>4.320429421767642</v>
      </c>
      <c r="N112">
        <f t="shared" si="8"/>
        <v>19474.116901775906</v>
      </c>
    </row>
    <row r="113" spans="7:14" x14ac:dyDescent="0.25">
      <c r="G113">
        <v>111</v>
      </c>
      <c r="H113">
        <v>0.37648481292227409</v>
      </c>
      <c r="I113">
        <v>0.55215396735853817</v>
      </c>
      <c r="J113">
        <f t="shared" si="9"/>
        <v>8.1532114455232083</v>
      </c>
      <c r="K113">
        <f t="shared" si="5"/>
        <v>2.5225660660705596</v>
      </c>
      <c r="L113">
        <f t="shared" si="6"/>
        <v>0</v>
      </c>
      <c r="M113">
        <f t="shared" si="7"/>
        <v>2.5225660660705596</v>
      </c>
      <c r="N113">
        <f t="shared" si="8"/>
        <v>338.15929351098407</v>
      </c>
    </row>
    <row r="114" spans="7:14" x14ac:dyDescent="0.25">
      <c r="G114">
        <v>112</v>
      </c>
      <c r="H114">
        <v>0.3465681256277775</v>
      </c>
      <c r="I114">
        <v>0.69501836109038262</v>
      </c>
      <c r="J114">
        <f t="shared" si="9"/>
        <v>7.5847943869277721</v>
      </c>
      <c r="K114">
        <f t="shared" si="5"/>
        <v>2.426675814611905</v>
      </c>
      <c r="L114">
        <f t="shared" si="6"/>
        <v>0</v>
      </c>
      <c r="M114">
        <f t="shared" si="7"/>
        <v>2.426675814611905</v>
      </c>
      <c r="N114">
        <f t="shared" si="8"/>
        <v>283.25795044296149</v>
      </c>
    </row>
    <row r="115" spans="7:14" x14ac:dyDescent="0.25">
      <c r="G115">
        <v>113</v>
      </c>
      <c r="H115">
        <v>0.62986133061238259</v>
      </c>
      <c r="I115">
        <v>0.85109462391657864</v>
      </c>
      <c r="J115">
        <f t="shared" si="9"/>
        <v>12.967365281635269</v>
      </c>
      <c r="K115">
        <f t="shared" si="5"/>
        <v>3.1185593580529742</v>
      </c>
      <c r="L115">
        <f t="shared" si="6"/>
        <v>3.7351594771101819</v>
      </c>
      <c r="M115">
        <f t="shared" si="7"/>
        <v>3.8292001481023128</v>
      </c>
      <c r="N115">
        <f t="shared" si="8"/>
        <v>7607.7657055445497</v>
      </c>
    </row>
    <row r="116" spans="7:14" x14ac:dyDescent="0.25">
      <c r="G116">
        <v>114</v>
      </c>
      <c r="H116">
        <v>0.41364337310726784</v>
      </c>
      <c r="I116">
        <v>0.27858291289149462</v>
      </c>
      <c r="J116">
        <f t="shared" si="9"/>
        <v>8.85922408903809</v>
      </c>
      <c r="K116">
        <f t="shared" si="5"/>
        <v>2.6315756904972085</v>
      </c>
      <c r="L116">
        <f t="shared" si="6"/>
        <v>0</v>
      </c>
      <c r="M116">
        <f t="shared" si="7"/>
        <v>2.6315756904972085</v>
      </c>
      <c r="N116">
        <f t="shared" si="8"/>
        <v>400.15004520896866</v>
      </c>
    </row>
    <row r="117" spans="7:14" x14ac:dyDescent="0.25">
      <c r="G117">
        <v>115</v>
      </c>
      <c r="H117">
        <v>0.35583404967993648</v>
      </c>
      <c r="I117">
        <v>0.41966490706953707</v>
      </c>
      <c r="J117">
        <f t="shared" si="9"/>
        <v>7.7608469439187928</v>
      </c>
      <c r="K117">
        <f t="shared" si="5"/>
        <v>2.4572328432918269</v>
      </c>
      <c r="L117">
        <f t="shared" si="6"/>
        <v>0</v>
      </c>
      <c r="M117">
        <f t="shared" si="7"/>
        <v>2.4572328432918269</v>
      </c>
      <c r="N117">
        <f t="shared" si="8"/>
        <v>279.95956061488192</v>
      </c>
    </row>
    <row r="118" spans="7:14" x14ac:dyDescent="0.25">
      <c r="G118">
        <v>116</v>
      </c>
      <c r="H118">
        <v>0.87782212764883194</v>
      </c>
      <c r="I118">
        <v>0.9767801988330479</v>
      </c>
      <c r="J118">
        <f t="shared" si="9"/>
        <v>17.678620425327807</v>
      </c>
      <c r="K118">
        <f t="shared" si="5"/>
        <v>3.5029902321499455</v>
      </c>
      <c r="L118">
        <f t="shared" si="6"/>
        <v>4.4247228322030656</v>
      </c>
      <c r="M118">
        <f t="shared" si="7"/>
        <v>4.4738430347168805</v>
      </c>
      <c r="N118">
        <f t="shared" si="8"/>
        <v>37446.550543991747</v>
      </c>
    </row>
    <row r="119" spans="7:14" x14ac:dyDescent="0.25">
      <c r="G119">
        <v>117</v>
      </c>
      <c r="H119">
        <v>0.11329058942835857</v>
      </c>
      <c r="I119">
        <v>0.4952786483586854</v>
      </c>
      <c r="J119">
        <f t="shared" si="9"/>
        <v>3.1525211991388127</v>
      </c>
      <c r="K119">
        <f t="shared" si="5"/>
        <v>1.1317563981521006</v>
      </c>
      <c r="L119">
        <f t="shared" si="6"/>
        <v>0</v>
      </c>
      <c r="M119">
        <f t="shared" si="7"/>
        <v>1.1317563981521006</v>
      </c>
      <c r="N119">
        <f t="shared" si="8"/>
        <v>13.525852610477367</v>
      </c>
    </row>
    <row r="120" spans="7:14" x14ac:dyDescent="0.25">
      <c r="G120">
        <v>118</v>
      </c>
      <c r="H120">
        <v>9.9073444523694598E-2</v>
      </c>
      <c r="I120">
        <v>0.15725376508392919</v>
      </c>
      <c r="J120">
        <f t="shared" si="9"/>
        <v>2.8823954459501975</v>
      </c>
      <c r="K120">
        <f t="shared" si="5"/>
        <v>0.97645886797777093</v>
      </c>
      <c r="L120">
        <f t="shared" si="6"/>
        <v>0</v>
      </c>
      <c r="M120">
        <f t="shared" si="7"/>
        <v>0.97645886797777093</v>
      </c>
      <c r="N120">
        <f t="shared" si="8"/>
        <v>8.436618783902416</v>
      </c>
    </row>
    <row r="121" spans="7:14" x14ac:dyDescent="0.25">
      <c r="G121">
        <v>119</v>
      </c>
      <c r="H121">
        <v>0.96763382197045456</v>
      </c>
      <c r="I121">
        <v>9.9699880664083085E-2</v>
      </c>
      <c r="J121">
        <f t="shared" si="9"/>
        <v>19.385042617438636</v>
      </c>
      <c r="K121">
        <f t="shared" si="5"/>
        <v>3.6158022744704317</v>
      </c>
      <c r="L121">
        <f t="shared" si="6"/>
        <v>4.5702684245430252</v>
      </c>
      <c r="M121">
        <f t="shared" si="7"/>
        <v>4.6160035562220463</v>
      </c>
      <c r="N121">
        <f t="shared" si="8"/>
        <v>35632.014725858069</v>
      </c>
    </row>
    <row r="122" spans="7:14" x14ac:dyDescent="0.25">
      <c r="G122">
        <v>120</v>
      </c>
      <c r="H122">
        <v>0.37818368318612816</v>
      </c>
      <c r="I122">
        <v>0.67372442407738609</v>
      </c>
      <c r="J122">
        <f t="shared" si="9"/>
        <v>8.1854899805364347</v>
      </c>
      <c r="K122">
        <f t="shared" si="5"/>
        <v>2.5277802670515706</v>
      </c>
      <c r="L122">
        <f t="shared" si="6"/>
        <v>0</v>
      </c>
      <c r="M122">
        <f t="shared" si="7"/>
        <v>2.5277802670515706</v>
      </c>
      <c r="N122">
        <f t="shared" si="8"/>
        <v>355.05146842694654</v>
      </c>
    </row>
    <row r="123" spans="7:14" x14ac:dyDescent="0.25">
      <c r="G123">
        <v>121</v>
      </c>
      <c r="H123">
        <v>0.35835584658782127</v>
      </c>
      <c r="I123">
        <v>0.94540226194483956</v>
      </c>
      <c r="J123">
        <f t="shared" si="9"/>
        <v>7.8087610851686042</v>
      </c>
      <c r="K123">
        <f t="shared" si="5"/>
        <v>2.4654114862658392</v>
      </c>
      <c r="L123">
        <f t="shared" si="6"/>
        <v>0</v>
      </c>
      <c r="M123">
        <f t="shared" si="7"/>
        <v>2.4654114862658392</v>
      </c>
      <c r="N123">
        <f t="shared" si="8"/>
        <v>351.15792440872156</v>
      </c>
    </row>
    <row r="124" spans="7:14" x14ac:dyDescent="0.25">
      <c r="G124">
        <v>122</v>
      </c>
      <c r="H124">
        <v>0.12556968372665933</v>
      </c>
      <c r="I124">
        <v>0.90824469375206551</v>
      </c>
      <c r="J124">
        <f t="shared" si="9"/>
        <v>3.3858239908065273</v>
      </c>
      <c r="K124">
        <f t="shared" si="5"/>
        <v>1.2509323022663876</v>
      </c>
      <c r="L124">
        <f t="shared" si="6"/>
        <v>0</v>
      </c>
      <c r="M124">
        <f t="shared" si="7"/>
        <v>1.2509323022663876</v>
      </c>
      <c r="N124">
        <f t="shared" si="8"/>
        <v>20.769854996404774</v>
      </c>
    </row>
    <row r="125" spans="7:14" x14ac:dyDescent="0.25">
      <c r="G125">
        <v>123</v>
      </c>
      <c r="H125">
        <v>0.40449091934816817</v>
      </c>
      <c r="I125">
        <v>0.66525891815234639</v>
      </c>
      <c r="J125">
        <f t="shared" si="9"/>
        <v>8.6853274676151955</v>
      </c>
      <c r="K125">
        <f t="shared" si="5"/>
        <v>2.6056629047612878</v>
      </c>
      <c r="L125">
        <f t="shared" si="6"/>
        <v>0</v>
      </c>
      <c r="M125">
        <f t="shared" si="7"/>
        <v>2.6056629047612878</v>
      </c>
      <c r="N125">
        <f t="shared" si="8"/>
        <v>423.64866830004621</v>
      </c>
    </row>
    <row r="126" spans="7:14" x14ac:dyDescent="0.25">
      <c r="G126">
        <v>124</v>
      </c>
      <c r="H126">
        <v>0.16904135866710346</v>
      </c>
      <c r="I126">
        <v>0.61419568860657137</v>
      </c>
      <c r="J126">
        <f t="shared" si="9"/>
        <v>4.2117858146749656</v>
      </c>
      <c r="K126">
        <f t="shared" si="5"/>
        <v>1.5952207670667671</v>
      </c>
      <c r="L126">
        <f t="shared" si="6"/>
        <v>0</v>
      </c>
      <c r="M126">
        <f t="shared" si="7"/>
        <v>1.5952207670667671</v>
      </c>
      <c r="N126">
        <f t="shared" si="8"/>
        <v>40.713115444000969</v>
      </c>
    </row>
    <row r="127" spans="7:14" x14ac:dyDescent="0.25">
      <c r="G127">
        <v>125</v>
      </c>
      <c r="H127">
        <v>0.41470283295037746</v>
      </c>
      <c r="I127">
        <v>0.66216514272260796</v>
      </c>
      <c r="J127">
        <f t="shared" si="9"/>
        <v>8.8793538260571729</v>
      </c>
      <c r="K127">
        <f t="shared" si="5"/>
        <v>2.6345381736469928</v>
      </c>
      <c r="L127">
        <f t="shared" si="6"/>
        <v>0</v>
      </c>
      <c r="M127">
        <f t="shared" si="7"/>
        <v>2.6345381736469928</v>
      </c>
      <c r="N127">
        <f t="shared" si="8"/>
        <v>452.33182605315091</v>
      </c>
    </row>
    <row r="128" spans="7:14" x14ac:dyDescent="0.25">
      <c r="G128">
        <v>126</v>
      </c>
      <c r="H128">
        <v>0.51451706838688527</v>
      </c>
      <c r="I128">
        <v>0.43208256428631631</v>
      </c>
      <c r="J128">
        <f t="shared" si="9"/>
        <v>10.77582429935082</v>
      </c>
      <c r="K128">
        <f t="shared" si="5"/>
        <v>2.884305598423643</v>
      </c>
      <c r="L128">
        <f t="shared" si="6"/>
        <v>2.7622047296186296</v>
      </c>
      <c r="M128">
        <f t="shared" si="7"/>
        <v>3.1285621475473024</v>
      </c>
      <c r="N128">
        <f t="shared" si="8"/>
        <v>1318.2822934428875</v>
      </c>
    </row>
    <row r="129" spans="7:14" x14ac:dyDescent="0.25">
      <c r="G129">
        <v>127</v>
      </c>
      <c r="H129">
        <v>0.18984571434829889</v>
      </c>
      <c r="I129">
        <v>0.35621147609461257</v>
      </c>
      <c r="J129">
        <f t="shared" si="9"/>
        <v>4.6070685726176794</v>
      </c>
      <c r="K129">
        <f t="shared" si="5"/>
        <v>1.72964162829173</v>
      </c>
      <c r="L129">
        <f t="shared" si="6"/>
        <v>0</v>
      </c>
      <c r="M129">
        <f t="shared" si="7"/>
        <v>1.72964162829173</v>
      </c>
      <c r="N129">
        <f t="shared" si="8"/>
        <v>51.429396827937971</v>
      </c>
    </row>
    <row r="130" spans="7:14" x14ac:dyDescent="0.25">
      <c r="G130">
        <v>128</v>
      </c>
      <c r="H130">
        <v>2.8806458842701832E-2</v>
      </c>
      <c r="I130">
        <v>0.21895167301824692</v>
      </c>
      <c r="J130">
        <f t="shared" si="9"/>
        <v>1.5473227180113347</v>
      </c>
      <c r="K130">
        <f t="shared" si="5"/>
        <v>-0.45412083464024622</v>
      </c>
      <c r="L130">
        <f t="shared" si="6"/>
        <v>0</v>
      </c>
      <c r="M130">
        <f t="shared" si="7"/>
        <v>-0.45412083464024622</v>
      </c>
      <c r="N130">
        <f t="shared" si="8"/>
        <v>0.32143431290193192</v>
      </c>
    </row>
    <row r="131" spans="7:14" x14ac:dyDescent="0.25">
      <c r="G131">
        <v>129</v>
      </c>
      <c r="H131">
        <v>0.78720883368055028</v>
      </c>
      <c r="I131">
        <v>0.93438115815970813</v>
      </c>
      <c r="J131">
        <f t="shared" si="9"/>
        <v>15.956967839930455</v>
      </c>
      <c r="K131">
        <f t="shared" ref="K131:K194" si="10">$E$7+$D$8*LOG10(J131-$D$6)</f>
        <v>3.3768127249397857</v>
      </c>
      <c r="L131">
        <f t="shared" ref="L131:L194" si="11">IF(J131&gt;=$D$14,$E$15+$D$16*LOG10(J131-$D$14), 0)</f>
        <v>4.2405920651887108</v>
      </c>
      <c r="M131">
        <f t="shared" ref="M131:M194" si="12">IF(J131&lt;$D$14,K131,LOG10(10^K131+10^L131))</f>
        <v>4.2962923252529341</v>
      </c>
      <c r="N131">
        <f t="shared" ref="N131:N194" si="13">10^(M131+_xlfn.NORM.INV(I131, 0, $D$18))</f>
        <v>23537.172042303388</v>
      </c>
    </row>
    <row r="132" spans="7:14" x14ac:dyDescent="0.25">
      <c r="G132">
        <v>130</v>
      </c>
      <c r="H132">
        <v>0.39033059201522557</v>
      </c>
      <c r="I132">
        <v>0.63400463355751757</v>
      </c>
      <c r="J132">
        <f t="shared" ref="J132:J195" si="14">$D$6 + H132*(20-$D$6)</f>
        <v>8.4162812482892857</v>
      </c>
      <c r="K132">
        <f t="shared" si="10"/>
        <v>2.5643930753094049</v>
      </c>
      <c r="L132">
        <f t="shared" si="11"/>
        <v>0</v>
      </c>
      <c r="M132">
        <f t="shared" si="12"/>
        <v>2.5643930753094049</v>
      </c>
      <c r="N132">
        <f t="shared" si="13"/>
        <v>381.51973361066638</v>
      </c>
    </row>
    <row r="133" spans="7:14" x14ac:dyDescent="0.25">
      <c r="G133">
        <v>131</v>
      </c>
      <c r="H133">
        <v>0.22525116629236774</v>
      </c>
      <c r="I133">
        <v>0.77231557015648866</v>
      </c>
      <c r="J133">
        <f t="shared" si="14"/>
        <v>5.2797721595549874</v>
      </c>
      <c r="K133">
        <f t="shared" si="10"/>
        <v>1.9276849634098234</v>
      </c>
      <c r="L133">
        <f t="shared" si="11"/>
        <v>0</v>
      </c>
      <c r="M133">
        <f t="shared" si="12"/>
        <v>1.9276849634098234</v>
      </c>
      <c r="N133">
        <f t="shared" si="13"/>
        <v>92.259198966345821</v>
      </c>
    </row>
    <row r="134" spans="7:14" x14ac:dyDescent="0.25">
      <c r="G134">
        <v>132</v>
      </c>
      <c r="H134">
        <v>1.8651987701355788E-2</v>
      </c>
      <c r="I134">
        <v>0.98861106328102411</v>
      </c>
      <c r="J134">
        <f t="shared" si="14"/>
        <v>1.35438776632576</v>
      </c>
      <c r="K134">
        <f t="shared" si="10"/>
        <v>-0.95749351099479152</v>
      </c>
      <c r="L134">
        <f t="shared" si="11"/>
        <v>0</v>
      </c>
      <c r="M134">
        <f t="shared" si="12"/>
        <v>-0.95749351099479152</v>
      </c>
      <c r="N134">
        <f t="shared" si="13"/>
        <v>0.14333870727000894</v>
      </c>
    </row>
    <row r="135" spans="7:14" x14ac:dyDescent="0.25">
      <c r="G135">
        <v>133</v>
      </c>
      <c r="H135">
        <v>0.25803617127368206</v>
      </c>
      <c r="I135">
        <v>0.8421149066996152</v>
      </c>
      <c r="J135">
        <f t="shared" si="14"/>
        <v>5.9026872541999591</v>
      </c>
      <c r="K135">
        <f t="shared" si="10"/>
        <v>2.0850544058389611</v>
      </c>
      <c r="L135">
        <f t="shared" si="11"/>
        <v>0</v>
      </c>
      <c r="M135">
        <f t="shared" si="12"/>
        <v>2.0850544058389611</v>
      </c>
      <c r="N135">
        <f t="shared" si="13"/>
        <v>136.525508653641</v>
      </c>
    </row>
    <row r="136" spans="7:14" x14ac:dyDescent="0.25">
      <c r="G136">
        <v>134</v>
      </c>
      <c r="H136">
        <v>0.83876102074762138</v>
      </c>
      <c r="I136">
        <v>0.29525536444752853</v>
      </c>
      <c r="J136">
        <f t="shared" si="14"/>
        <v>16.936459394204807</v>
      </c>
      <c r="K136">
        <f t="shared" si="10"/>
        <v>3.450274806679603</v>
      </c>
      <c r="L136">
        <f t="shared" si="11"/>
        <v>4.351000095179181</v>
      </c>
      <c r="M136">
        <f t="shared" si="12"/>
        <v>4.4024159986334501</v>
      </c>
      <c r="N136">
        <f t="shared" si="13"/>
        <v>23741.666239516762</v>
      </c>
    </row>
    <row r="137" spans="7:14" x14ac:dyDescent="0.25">
      <c r="G137">
        <v>135</v>
      </c>
      <c r="H137">
        <v>0.34504865399030604</v>
      </c>
      <c r="I137">
        <v>0.9005138212590702</v>
      </c>
      <c r="J137">
        <f t="shared" si="14"/>
        <v>7.5559244258158147</v>
      </c>
      <c r="K137">
        <f t="shared" si="10"/>
        <v>2.4215870681366338</v>
      </c>
      <c r="L137">
        <f t="shared" si="11"/>
        <v>0</v>
      </c>
      <c r="M137">
        <f t="shared" si="12"/>
        <v>2.4215870681366338</v>
      </c>
      <c r="N137">
        <f t="shared" si="13"/>
        <v>306.06333849439841</v>
      </c>
    </row>
    <row r="138" spans="7:14" x14ac:dyDescent="0.25">
      <c r="G138">
        <v>136</v>
      </c>
      <c r="H138">
        <v>0.74431451509043101</v>
      </c>
      <c r="I138">
        <v>0.68473198176010719</v>
      </c>
      <c r="J138">
        <f t="shared" si="14"/>
        <v>15.14197578671819</v>
      </c>
      <c r="K138">
        <f t="shared" si="10"/>
        <v>3.3119234702201612</v>
      </c>
      <c r="L138">
        <f t="shared" si="11"/>
        <v>4.1338870340560874</v>
      </c>
      <c r="M138">
        <f t="shared" si="12"/>
        <v>4.1948390877910686</v>
      </c>
      <c r="N138">
        <f t="shared" si="13"/>
        <v>16553.4192001919</v>
      </c>
    </row>
    <row r="139" spans="7:14" x14ac:dyDescent="0.25">
      <c r="G139">
        <v>137</v>
      </c>
      <c r="H139">
        <v>6.7645637947351456E-2</v>
      </c>
      <c r="I139">
        <v>0.83291362220949783</v>
      </c>
      <c r="J139">
        <f t="shared" si="14"/>
        <v>2.2852671209996775</v>
      </c>
      <c r="K139">
        <f t="shared" si="10"/>
        <v>0.53454562614376933</v>
      </c>
      <c r="L139">
        <f t="shared" si="11"/>
        <v>0</v>
      </c>
      <c r="M139">
        <f t="shared" si="12"/>
        <v>0.53454562614376933</v>
      </c>
      <c r="N139">
        <f t="shared" si="13"/>
        <v>3.8267736975743194</v>
      </c>
    </row>
    <row r="140" spans="7:14" x14ac:dyDescent="0.25">
      <c r="G140">
        <v>138</v>
      </c>
      <c r="H140">
        <v>0.59642747881362446</v>
      </c>
      <c r="I140">
        <v>0.26918936435943286</v>
      </c>
      <c r="J140">
        <f t="shared" si="14"/>
        <v>12.332122097458864</v>
      </c>
      <c r="K140">
        <f t="shared" si="10"/>
        <v>3.0553932191065623</v>
      </c>
      <c r="L140">
        <f t="shared" si="11"/>
        <v>3.5604445328774341</v>
      </c>
      <c r="M140">
        <f t="shared" si="12"/>
        <v>3.6785673385479063</v>
      </c>
      <c r="N140">
        <f t="shared" si="13"/>
        <v>4444.3066088616024</v>
      </c>
    </row>
    <row r="141" spans="7:14" x14ac:dyDescent="0.25">
      <c r="G141">
        <v>139</v>
      </c>
      <c r="H141">
        <v>0.32993352383786578</v>
      </c>
      <c r="I141">
        <v>0.40428650059398274</v>
      </c>
      <c r="J141">
        <f t="shared" si="14"/>
        <v>7.2687369529194497</v>
      </c>
      <c r="K141">
        <f t="shared" si="10"/>
        <v>2.3697100226012742</v>
      </c>
      <c r="L141">
        <f t="shared" si="11"/>
        <v>0</v>
      </c>
      <c r="M141">
        <f t="shared" si="12"/>
        <v>2.3697100226012742</v>
      </c>
      <c r="N141">
        <f t="shared" si="13"/>
        <v>227.82252160973277</v>
      </c>
    </row>
    <row r="142" spans="7:14" x14ac:dyDescent="0.25">
      <c r="G142">
        <v>140</v>
      </c>
      <c r="H142">
        <v>0.57101533181710284</v>
      </c>
      <c r="I142">
        <v>5.4311561675359332E-2</v>
      </c>
      <c r="J142">
        <f t="shared" si="14"/>
        <v>11.849291304524954</v>
      </c>
      <c r="K142">
        <f t="shared" si="10"/>
        <v>3.0049668858893255</v>
      </c>
      <c r="L142">
        <f t="shared" si="11"/>
        <v>3.3921987856381191</v>
      </c>
      <c r="M142">
        <f t="shared" si="12"/>
        <v>3.5414133166842903</v>
      </c>
      <c r="N142">
        <f t="shared" si="13"/>
        <v>2891.9626781730299</v>
      </c>
    </row>
    <row r="143" spans="7:14" x14ac:dyDescent="0.25">
      <c r="G143">
        <v>141</v>
      </c>
      <c r="H143">
        <v>0.84607289713336131</v>
      </c>
      <c r="I143">
        <v>0.99387730564612065</v>
      </c>
      <c r="J143">
        <f t="shared" si="14"/>
        <v>17.075385045533864</v>
      </c>
      <c r="K143">
        <f t="shared" si="10"/>
        <v>3.4603269230940477</v>
      </c>
      <c r="L143">
        <f t="shared" si="11"/>
        <v>4.3653825210487538</v>
      </c>
      <c r="M143">
        <f t="shared" si="12"/>
        <v>4.4163170810877244</v>
      </c>
      <c r="N143">
        <f t="shared" si="13"/>
        <v>34798.996546924842</v>
      </c>
    </row>
    <row r="144" spans="7:14" x14ac:dyDescent="0.25">
      <c r="G144">
        <v>142</v>
      </c>
      <c r="H144">
        <v>0.92436905168972994</v>
      </c>
      <c r="I144">
        <v>0.67224452969612203</v>
      </c>
      <c r="J144">
        <f t="shared" si="14"/>
        <v>18.563011982104868</v>
      </c>
      <c r="K144">
        <f t="shared" si="10"/>
        <v>3.5628272256645608</v>
      </c>
      <c r="L144">
        <f t="shared" si="11"/>
        <v>4.5037862299405731</v>
      </c>
      <c r="M144">
        <f t="shared" si="12"/>
        <v>4.5508905040554275</v>
      </c>
      <c r="N144">
        <f t="shared" si="13"/>
        <v>37427.987707084707</v>
      </c>
    </row>
    <row r="145" spans="7:14" x14ac:dyDescent="0.25">
      <c r="G145">
        <v>143</v>
      </c>
      <c r="H145">
        <v>0.97525574055592568</v>
      </c>
      <c r="I145">
        <v>0.79537042795288104</v>
      </c>
      <c r="J145">
        <f t="shared" si="14"/>
        <v>19.529859070562587</v>
      </c>
      <c r="K145">
        <f t="shared" si="10"/>
        <v>3.6248888754536277</v>
      </c>
      <c r="L145">
        <f t="shared" si="11"/>
        <v>4.581374307243621</v>
      </c>
      <c r="M145">
        <f t="shared" si="12"/>
        <v>4.6269080261146138</v>
      </c>
      <c r="N145">
        <f t="shared" si="13"/>
        <v>46576.615800746906</v>
      </c>
    </row>
    <row r="146" spans="7:14" x14ac:dyDescent="0.25">
      <c r="G146">
        <v>144</v>
      </c>
      <c r="H146">
        <v>0.95997674559381696</v>
      </c>
      <c r="I146">
        <v>0.77809915964507537</v>
      </c>
      <c r="J146">
        <f t="shared" si="14"/>
        <v>19.239558166282521</v>
      </c>
      <c r="K146">
        <f t="shared" si="10"/>
        <v>3.6066014021505195</v>
      </c>
      <c r="L146">
        <f t="shared" si="11"/>
        <v>4.5589373989840949</v>
      </c>
      <c r="M146">
        <f t="shared" si="12"/>
        <v>4.6048859178701447</v>
      </c>
      <c r="N146">
        <f t="shared" si="13"/>
        <v>43971.915322345303</v>
      </c>
    </row>
    <row r="147" spans="7:14" x14ac:dyDescent="0.25">
      <c r="G147">
        <v>145</v>
      </c>
      <c r="H147">
        <v>0.67976792924824481</v>
      </c>
      <c r="I147">
        <v>0.2954386964180532</v>
      </c>
      <c r="J147">
        <f t="shared" si="14"/>
        <v>13.915590655716651</v>
      </c>
      <c r="K147">
        <f t="shared" si="10"/>
        <v>3.2068679576545982</v>
      </c>
      <c r="L147">
        <f t="shared" si="11"/>
        <v>3.9362713518775969</v>
      </c>
      <c r="M147">
        <f t="shared" si="12"/>
        <v>4.0105261700820565</v>
      </c>
      <c r="N147">
        <f t="shared" si="13"/>
        <v>9630.479689041993</v>
      </c>
    </row>
    <row r="148" spans="7:14" x14ac:dyDescent="0.25">
      <c r="G148">
        <v>146</v>
      </c>
      <c r="H148">
        <v>0.9210926370196828</v>
      </c>
      <c r="I148">
        <v>0.64182198604154317</v>
      </c>
      <c r="J148">
        <f t="shared" si="14"/>
        <v>18.500760103373974</v>
      </c>
      <c r="K148">
        <f t="shared" si="10"/>
        <v>3.5587149963606697</v>
      </c>
      <c r="L148">
        <f t="shared" si="11"/>
        <v>4.4984943482544946</v>
      </c>
      <c r="M148">
        <f t="shared" si="12"/>
        <v>4.5457200227444901</v>
      </c>
      <c r="N148">
        <f t="shared" si="13"/>
        <v>36634.197343328291</v>
      </c>
    </row>
    <row r="149" spans="7:14" x14ac:dyDescent="0.25">
      <c r="G149">
        <v>147</v>
      </c>
      <c r="H149">
        <v>0.44671637165799161</v>
      </c>
      <c r="I149">
        <v>0.62396337420481829</v>
      </c>
      <c r="J149">
        <f t="shared" si="14"/>
        <v>9.4876110615018412</v>
      </c>
      <c r="K149">
        <f t="shared" si="10"/>
        <v>2.7206578190137316</v>
      </c>
      <c r="L149">
        <f t="shared" si="11"/>
        <v>0</v>
      </c>
      <c r="M149">
        <f t="shared" si="12"/>
        <v>2.7206578190137316</v>
      </c>
      <c r="N149">
        <f t="shared" si="13"/>
        <v>545.07110358094576</v>
      </c>
    </row>
    <row r="150" spans="7:14" x14ac:dyDescent="0.25">
      <c r="G150">
        <v>148</v>
      </c>
      <c r="H150">
        <v>0.79412566379906613</v>
      </c>
      <c r="I150">
        <v>0.38505775556875554</v>
      </c>
      <c r="J150">
        <f t="shared" si="14"/>
        <v>16.088387612182256</v>
      </c>
      <c r="K150">
        <f t="shared" si="10"/>
        <v>3.3869441181907591</v>
      </c>
      <c r="L150">
        <f t="shared" si="11"/>
        <v>4.2564187189446931</v>
      </c>
      <c r="M150">
        <f t="shared" si="12"/>
        <v>4.3114373779898143</v>
      </c>
      <c r="N150">
        <f t="shared" si="13"/>
        <v>19807.34142439692</v>
      </c>
    </row>
    <row r="151" spans="7:14" x14ac:dyDescent="0.25">
      <c r="G151">
        <v>149</v>
      </c>
      <c r="H151">
        <v>0.5339659373431217</v>
      </c>
      <c r="I151">
        <v>0.36737799464150556</v>
      </c>
      <c r="J151">
        <f t="shared" si="14"/>
        <v>11.145352809519313</v>
      </c>
      <c r="K151">
        <f t="shared" si="10"/>
        <v>2.9272756438281213</v>
      </c>
      <c r="L151">
        <f t="shared" si="11"/>
        <v>3.0447284953052263</v>
      </c>
      <c r="M151">
        <f t="shared" si="12"/>
        <v>3.2909905932642913</v>
      </c>
      <c r="N151">
        <f t="shared" si="13"/>
        <v>1879.5344938913106</v>
      </c>
    </row>
    <row r="152" spans="7:14" x14ac:dyDescent="0.25">
      <c r="G152">
        <v>150</v>
      </c>
      <c r="H152">
        <v>0.58233446033538594</v>
      </c>
      <c r="I152">
        <v>7.9285432218070273E-3</v>
      </c>
      <c r="J152">
        <f t="shared" si="14"/>
        <v>12.064354746372333</v>
      </c>
      <c r="K152">
        <f t="shared" si="10"/>
        <v>3.0276994765836522</v>
      </c>
      <c r="L152">
        <f t="shared" si="11"/>
        <v>3.4719897198978873</v>
      </c>
      <c r="M152">
        <f t="shared" si="12"/>
        <v>3.6053718041369684</v>
      </c>
      <c r="N152">
        <f t="shared" si="13"/>
        <v>3053.2501385474902</v>
      </c>
    </row>
    <row r="153" spans="7:14" x14ac:dyDescent="0.25">
      <c r="G153">
        <v>151</v>
      </c>
      <c r="H153">
        <v>0.94644775753383337</v>
      </c>
      <c r="I153">
        <v>0.54349997276045703</v>
      </c>
      <c r="J153">
        <f t="shared" si="14"/>
        <v>18.982507393142836</v>
      </c>
      <c r="K153">
        <f t="shared" si="10"/>
        <v>3.5901638920759522</v>
      </c>
      <c r="L153">
        <f t="shared" si="11"/>
        <v>4.5384738527171882</v>
      </c>
      <c r="M153">
        <f t="shared" si="12"/>
        <v>4.5848282582587023</v>
      </c>
      <c r="N153">
        <f t="shared" si="13"/>
        <v>38930.593068288254</v>
      </c>
    </row>
    <row r="154" spans="7:14" x14ac:dyDescent="0.25">
      <c r="G154">
        <v>152</v>
      </c>
      <c r="H154">
        <v>0.59338579255128465</v>
      </c>
      <c r="I154">
        <v>0.6913880809056786</v>
      </c>
      <c r="J154">
        <f t="shared" si="14"/>
        <v>12.274330058474408</v>
      </c>
      <c r="K154">
        <f t="shared" si="10"/>
        <v>3.0494718846408855</v>
      </c>
      <c r="L154">
        <f t="shared" si="11"/>
        <v>3.5422452188818845</v>
      </c>
      <c r="M154">
        <f t="shared" si="12"/>
        <v>3.6633235020794932</v>
      </c>
      <c r="N154">
        <f t="shared" si="13"/>
        <v>4878.7991468945265</v>
      </c>
    </row>
    <row r="155" spans="7:14" x14ac:dyDescent="0.25">
      <c r="G155">
        <v>153</v>
      </c>
      <c r="H155">
        <v>0.47563207423642506</v>
      </c>
      <c r="I155">
        <v>0.65348822768549675</v>
      </c>
      <c r="J155">
        <f t="shared" si="14"/>
        <v>10.037009410492075</v>
      </c>
      <c r="K155">
        <f t="shared" si="10"/>
        <v>2.7932958574086237</v>
      </c>
      <c r="L155">
        <f t="shared" si="11"/>
        <v>0.55538120820070436</v>
      </c>
      <c r="M155">
        <f t="shared" si="12"/>
        <v>2.7957997581584224</v>
      </c>
      <c r="N155">
        <f t="shared" si="13"/>
        <v>653.93942219204996</v>
      </c>
    </row>
    <row r="156" spans="7:14" x14ac:dyDescent="0.25">
      <c r="G156">
        <v>154</v>
      </c>
      <c r="H156">
        <v>0.82150935374891942</v>
      </c>
      <c r="I156">
        <v>0.60822949963277284</v>
      </c>
      <c r="J156">
        <f t="shared" si="14"/>
        <v>16.608677721229469</v>
      </c>
      <c r="K156">
        <f t="shared" si="10"/>
        <v>3.4262062017499928</v>
      </c>
      <c r="L156">
        <f t="shared" si="11"/>
        <v>4.3158912264435747</v>
      </c>
      <c r="M156">
        <f t="shared" si="12"/>
        <v>4.368553785829481</v>
      </c>
      <c r="N156">
        <f t="shared" si="13"/>
        <v>24115.105083713275</v>
      </c>
    </row>
    <row r="157" spans="7:14" x14ac:dyDescent="0.25">
      <c r="G157">
        <v>155</v>
      </c>
      <c r="H157">
        <v>0.67967281858819772</v>
      </c>
      <c r="I157">
        <v>0.53720516248284511</v>
      </c>
      <c r="J157">
        <f t="shared" si="14"/>
        <v>13.913783553175756</v>
      </c>
      <c r="K157">
        <f t="shared" si="10"/>
        <v>3.2067059065662153</v>
      </c>
      <c r="L157">
        <f t="shared" si="11"/>
        <v>3.9359365510433495</v>
      </c>
      <c r="M157">
        <f t="shared" si="12"/>
        <v>4.0102185231347507</v>
      </c>
      <c r="N157">
        <f t="shared" si="13"/>
        <v>10348.759127509224</v>
      </c>
    </row>
    <row r="158" spans="7:14" x14ac:dyDescent="0.25">
      <c r="G158">
        <v>156</v>
      </c>
      <c r="H158">
        <v>0.30939690389954255</v>
      </c>
      <c r="I158">
        <v>0.54830627943534904</v>
      </c>
      <c r="J158">
        <f t="shared" si="14"/>
        <v>6.8785411740913087</v>
      </c>
      <c r="K158">
        <f t="shared" si="10"/>
        <v>2.2952820704147583</v>
      </c>
      <c r="L158">
        <f t="shared" si="11"/>
        <v>0</v>
      </c>
      <c r="M158">
        <f t="shared" si="12"/>
        <v>2.2952820704147583</v>
      </c>
      <c r="N158">
        <f t="shared" si="13"/>
        <v>200.147991174601</v>
      </c>
    </row>
    <row r="159" spans="7:14" x14ac:dyDescent="0.25">
      <c r="G159">
        <v>157</v>
      </c>
      <c r="H159">
        <v>0.9447840072702044</v>
      </c>
      <c r="I159">
        <v>9.2943435391395823E-2</v>
      </c>
      <c r="J159">
        <f t="shared" si="14"/>
        <v>18.950896138133885</v>
      </c>
      <c r="K159">
        <f t="shared" si="10"/>
        <v>3.5881262564042089</v>
      </c>
      <c r="L159">
        <f t="shared" si="11"/>
        <v>4.5359169733111262</v>
      </c>
      <c r="M159">
        <f t="shared" si="12"/>
        <v>4.5823239733427004</v>
      </c>
      <c r="N159">
        <f t="shared" si="13"/>
        <v>32823.260129236609</v>
      </c>
    </row>
    <row r="160" spans="7:14" x14ac:dyDescent="0.25">
      <c r="G160">
        <v>158</v>
      </c>
      <c r="H160">
        <v>0.35669388364170485</v>
      </c>
      <c r="I160">
        <v>0.91192735940746106</v>
      </c>
      <c r="J160">
        <f t="shared" si="14"/>
        <v>7.7771837891923923</v>
      </c>
      <c r="K160">
        <f t="shared" si="10"/>
        <v>2.4600279342816878</v>
      </c>
      <c r="L160">
        <f t="shared" si="11"/>
        <v>0</v>
      </c>
      <c r="M160">
        <f t="shared" si="12"/>
        <v>2.4600279342816878</v>
      </c>
      <c r="N160">
        <f t="shared" si="13"/>
        <v>337.02638780897922</v>
      </c>
    </row>
    <row r="161" spans="7:14" x14ac:dyDescent="0.25">
      <c r="G161">
        <v>159</v>
      </c>
      <c r="H161">
        <v>7.9933568247070874E-2</v>
      </c>
      <c r="I161">
        <v>0.27510519007576095</v>
      </c>
      <c r="J161">
        <f t="shared" si="14"/>
        <v>2.5187377966943467</v>
      </c>
      <c r="K161">
        <f t="shared" si="10"/>
        <v>0.72785070222332082</v>
      </c>
      <c r="L161">
        <f t="shared" si="11"/>
        <v>0</v>
      </c>
      <c r="M161">
        <f t="shared" si="12"/>
        <v>0.72785070222332082</v>
      </c>
      <c r="N161">
        <f t="shared" si="13"/>
        <v>4.9885974104186088</v>
      </c>
    </row>
    <row r="162" spans="7:14" x14ac:dyDescent="0.25">
      <c r="G162">
        <v>160</v>
      </c>
      <c r="H162">
        <v>0.48619221784048194</v>
      </c>
      <c r="I162">
        <v>0.50876684027786512</v>
      </c>
      <c r="J162">
        <f t="shared" si="14"/>
        <v>10.237652138969157</v>
      </c>
      <c r="K162">
        <f t="shared" si="10"/>
        <v>2.8187275094759943</v>
      </c>
      <c r="L162">
        <f t="shared" si="11"/>
        <v>1.9041225734543887</v>
      </c>
      <c r="M162">
        <f t="shared" si="12"/>
        <v>2.8686155668548614</v>
      </c>
      <c r="N162">
        <f t="shared" si="13"/>
        <v>740.82292931128393</v>
      </c>
    </row>
    <row r="163" spans="7:14" x14ac:dyDescent="0.25">
      <c r="G163">
        <v>161</v>
      </c>
      <c r="H163">
        <v>0.11024044472026961</v>
      </c>
      <c r="I163">
        <v>0.68676114790286102</v>
      </c>
      <c r="J163">
        <f t="shared" si="14"/>
        <v>3.0945684496851227</v>
      </c>
      <c r="K163">
        <f t="shared" si="10"/>
        <v>1.1001487186900114</v>
      </c>
      <c r="L163">
        <f t="shared" si="11"/>
        <v>0</v>
      </c>
      <c r="M163">
        <f t="shared" si="12"/>
        <v>1.1001487186900114</v>
      </c>
      <c r="N163">
        <f t="shared" si="13"/>
        <v>13.319356459220192</v>
      </c>
    </row>
    <row r="164" spans="7:14" x14ac:dyDescent="0.25">
      <c r="G164">
        <v>162</v>
      </c>
      <c r="H164">
        <v>0.14566473141826308</v>
      </c>
      <c r="I164">
        <v>0.8373812022588526</v>
      </c>
      <c r="J164">
        <f t="shared" si="14"/>
        <v>3.7676298969469988</v>
      </c>
      <c r="K164">
        <f t="shared" si="10"/>
        <v>1.4228512676489597</v>
      </c>
      <c r="L164">
        <f t="shared" si="11"/>
        <v>0</v>
      </c>
      <c r="M164">
        <f t="shared" si="12"/>
        <v>1.4228512676489597</v>
      </c>
      <c r="N164">
        <f t="shared" si="13"/>
        <v>29.65096651843027</v>
      </c>
    </row>
    <row r="165" spans="7:14" x14ac:dyDescent="0.25">
      <c r="G165">
        <v>163</v>
      </c>
      <c r="H165">
        <v>0.52086681965991033</v>
      </c>
      <c r="I165">
        <v>0.21447532111748202</v>
      </c>
      <c r="J165">
        <f t="shared" si="14"/>
        <v>10.896469573538296</v>
      </c>
      <c r="K165">
        <f t="shared" si="10"/>
        <v>2.8985106820680442</v>
      </c>
      <c r="L165">
        <f t="shared" si="11"/>
        <v>2.8670342638339332</v>
      </c>
      <c r="M165">
        <f t="shared" si="12"/>
        <v>3.1840875712846639</v>
      </c>
      <c r="N165">
        <f t="shared" si="13"/>
        <v>1394.8841554740138</v>
      </c>
    </row>
    <row r="166" spans="7:14" x14ac:dyDescent="0.25">
      <c r="G166">
        <v>164</v>
      </c>
      <c r="H166">
        <v>0.1908912421744724</v>
      </c>
      <c r="I166">
        <v>0.53416154724457909</v>
      </c>
      <c r="J166">
        <f t="shared" si="14"/>
        <v>4.6269336013149758</v>
      </c>
      <c r="K166">
        <f t="shared" si="10"/>
        <v>1.7360021786109567</v>
      </c>
      <c r="L166">
        <f t="shared" si="11"/>
        <v>0</v>
      </c>
      <c r="M166">
        <f t="shared" si="12"/>
        <v>1.7360021786109567</v>
      </c>
      <c r="N166">
        <f t="shared" si="13"/>
        <v>54.990660932430366</v>
      </c>
    </row>
    <row r="167" spans="7:14" x14ac:dyDescent="0.25">
      <c r="G167">
        <v>165</v>
      </c>
      <c r="H167">
        <v>0.40838386261751269</v>
      </c>
      <c r="I167">
        <v>0.74706740314132247</v>
      </c>
      <c r="J167">
        <f t="shared" si="14"/>
        <v>8.7592933897327416</v>
      </c>
      <c r="K167">
        <f t="shared" si="10"/>
        <v>2.6167556945718347</v>
      </c>
      <c r="L167">
        <f t="shared" si="11"/>
        <v>0</v>
      </c>
      <c r="M167">
        <f t="shared" si="12"/>
        <v>2.6167556945718347</v>
      </c>
      <c r="N167">
        <f t="shared" si="13"/>
        <v>446.7043497590156</v>
      </c>
    </row>
    <row r="168" spans="7:14" x14ac:dyDescent="0.25">
      <c r="G168">
        <v>166</v>
      </c>
      <c r="H168">
        <v>0.80451566612721614</v>
      </c>
      <c r="I168">
        <v>0.2258922036034624</v>
      </c>
      <c r="J168">
        <f t="shared" si="14"/>
        <v>16.285797656417106</v>
      </c>
      <c r="K168">
        <f t="shared" si="10"/>
        <v>3.4019981823454239</v>
      </c>
      <c r="L168">
        <f t="shared" si="11"/>
        <v>4.2795617510624631</v>
      </c>
      <c r="M168">
        <f t="shared" si="12"/>
        <v>4.3336257717490332</v>
      </c>
      <c r="N168">
        <f t="shared" si="13"/>
        <v>19769.860176105816</v>
      </c>
    </row>
    <row r="169" spans="7:14" x14ac:dyDescent="0.25">
      <c r="G169">
        <v>167</v>
      </c>
      <c r="H169">
        <v>0.42417801198835892</v>
      </c>
      <c r="I169">
        <v>0.16035671333574153</v>
      </c>
      <c r="J169">
        <f t="shared" si="14"/>
        <v>9.0593822277788192</v>
      </c>
      <c r="K169">
        <f t="shared" si="10"/>
        <v>2.660701240811965</v>
      </c>
      <c r="L169">
        <f t="shared" si="11"/>
        <v>0</v>
      </c>
      <c r="M169">
        <f t="shared" si="12"/>
        <v>2.660701240811965</v>
      </c>
      <c r="N169">
        <f t="shared" si="13"/>
        <v>408.36790025969958</v>
      </c>
    </row>
    <row r="170" spans="7:14" x14ac:dyDescent="0.25">
      <c r="G170">
        <v>168</v>
      </c>
      <c r="H170">
        <v>0.80944351169853623</v>
      </c>
      <c r="I170">
        <v>0.59180173055198138</v>
      </c>
      <c r="J170">
        <f t="shared" si="14"/>
        <v>16.379426722272189</v>
      </c>
      <c r="K170">
        <f t="shared" si="10"/>
        <v>3.4090702911295336</v>
      </c>
      <c r="L170">
        <f t="shared" si="11"/>
        <v>4.290285249479215</v>
      </c>
      <c r="M170">
        <f t="shared" si="12"/>
        <v>4.3439234570226395</v>
      </c>
      <c r="N170">
        <f t="shared" si="13"/>
        <v>22674.230887903399</v>
      </c>
    </row>
    <row r="171" spans="7:14" x14ac:dyDescent="0.25">
      <c r="G171">
        <v>169</v>
      </c>
      <c r="H171">
        <v>0.91047739500586489</v>
      </c>
      <c r="I171">
        <v>0.23389911669134289</v>
      </c>
      <c r="J171">
        <f t="shared" si="14"/>
        <v>18.299070505111434</v>
      </c>
      <c r="K171">
        <f t="shared" si="10"/>
        <v>3.5452906152533532</v>
      </c>
      <c r="L171">
        <f t="shared" si="11"/>
        <v>4.4810790770254503</v>
      </c>
      <c r="M171">
        <f t="shared" si="12"/>
        <v>4.5287176613684581</v>
      </c>
      <c r="N171">
        <f t="shared" si="13"/>
        <v>31075.230237792155</v>
      </c>
    </row>
    <row r="172" spans="7:14" x14ac:dyDescent="0.25">
      <c r="G172">
        <v>170</v>
      </c>
      <c r="H172">
        <v>0.9289620521740396</v>
      </c>
      <c r="I172">
        <v>5.11438496807054E-2</v>
      </c>
      <c r="J172">
        <f t="shared" si="14"/>
        <v>18.650278991306752</v>
      </c>
      <c r="K172">
        <f t="shared" si="10"/>
        <v>3.5685674306974042</v>
      </c>
      <c r="L172">
        <f t="shared" si="11"/>
        <v>4.5111401800800639</v>
      </c>
      <c r="M172">
        <f t="shared" si="12"/>
        <v>4.5580788589612746</v>
      </c>
      <c r="N172">
        <f t="shared" si="13"/>
        <v>29949.234599556483</v>
      </c>
    </row>
    <row r="173" spans="7:14" x14ac:dyDescent="0.25">
      <c r="G173">
        <v>171</v>
      </c>
      <c r="H173">
        <v>0.47048324915292494</v>
      </c>
      <c r="I173">
        <v>0.66098188403073244</v>
      </c>
      <c r="J173">
        <f t="shared" si="14"/>
        <v>9.9391817339055741</v>
      </c>
      <c r="K173">
        <f t="shared" si="10"/>
        <v>2.78069060958684</v>
      </c>
      <c r="L173">
        <f t="shared" si="11"/>
        <v>0</v>
      </c>
      <c r="M173">
        <f t="shared" si="12"/>
        <v>2.78069060958684</v>
      </c>
      <c r="N173">
        <f t="shared" si="13"/>
        <v>633.06430576376113</v>
      </c>
    </row>
    <row r="174" spans="7:14" x14ac:dyDescent="0.25">
      <c r="G174">
        <v>172</v>
      </c>
      <c r="H174">
        <v>0.38752033628387439</v>
      </c>
      <c r="I174">
        <v>0.40734012238450923</v>
      </c>
      <c r="J174">
        <f t="shared" si="14"/>
        <v>8.3628863893936138</v>
      </c>
      <c r="K174">
        <f t="shared" si="10"/>
        <v>2.5560248301171566</v>
      </c>
      <c r="L174">
        <f t="shared" si="11"/>
        <v>0</v>
      </c>
      <c r="M174">
        <f t="shared" si="12"/>
        <v>2.5560248301171566</v>
      </c>
      <c r="N174">
        <f t="shared" si="13"/>
        <v>350.19117932945852</v>
      </c>
    </row>
    <row r="175" spans="7:14" x14ac:dyDescent="0.25">
      <c r="G175">
        <v>173</v>
      </c>
      <c r="H175">
        <v>0.90989009692601475</v>
      </c>
      <c r="I175">
        <v>0.60769816175872182</v>
      </c>
      <c r="J175">
        <f t="shared" si="14"/>
        <v>18.28791184159428</v>
      </c>
      <c r="K175">
        <f t="shared" si="10"/>
        <v>3.5445433366214907</v>
      </c>
      <c r="L175">
        <f t="shared" si="11"/>
        <v>4.4801032437054928</v>
      </c>
      <c r="M175">
        <f t="shared" si="12"/>
        <v>4.5277655781513726</v>
      </c>
      <c r="N175">
        <f t="shared" si="13"/>
        <v>34788.18813931202</v>
      </c>
    </row>
    <row r="176" spans="7:14" x14ac:dyDescent="0.25">
      <c r="G176">
        <v>174</v>
      </c>
      <c r="H176">
        <v>0.49954438271798229</v>
      </c>
      <c r="I176">
        <v>0.84503048737247033</v>
      </c>
      <c r="J176">
        <f t="shared" si="14"/>
        <v>10.491343271641664</v>
      </c>
      <c r="K176">
        <f t="shared" si="10"/>
        <v>2.8501037139539975</v>
      </c>
      <c r="L176">
        <f t="shared" si="11"/>
        <v>2.4309128607472021</v>
      </c>
      <c r="M176">
        <f t="shared" si="12"/>
        <v>2.9902654399309019</v>
      </c>
      <c r="N176">
        <f t="shared" si="13"/>
        <v>1099.0891969922484</v>
      </c>
    </row>
    <row r="177" spans="7:14" x14ac:dyDescent="0.25">
      <c r="G177">
        <v>175</v>
      </c>
      <c r="H177">
        <v>0.74211211889614059</v>
      </c>
      <c r="I177">
        <v>0.69621461738901524</v>
      </c>
      <c r="J177">
        <f t="shared" si="14"/>
        <v>15.10013025902667</v>
      </c>
      <c r="K177">
        <f t="shared" si="10"/>
        <v>3.308491564674449</v>
      </c>
      <c r="L177">
        <f t="shared" si="11"/>
        <v>4.1279606065638772</v>
      </c>
      <c r="M177">
        <f t="shared" si="12"/>
        <v>4.1892401184686756</v>
      </c>
      <c r="N177">
        <f t="shared" si="13"/>
        <v>16402.774857384302</v>
      </c>
    </row>
    <row r="178" spans="7:14" x14ac:dyDescent="0.25">
      <c r="G178">
        <v>176</v>
      </c>
      <c r="H178">
        <v>0.32951584982834681</v>
      </c>
      <c r="I178">
        <v>0.28429671094111642</v>
      </c>
      <c r="J178">
        <f t="shared" si="14"/>
        <v>7.2608011467385891</v>
      </c>
      <c r="K178">
        <f t="shared" si="10"/>
        <v>2.3682429922852339</v>
      </c>
      <c r="L178">
        <f t="shared" si="11"/>
        <v>0</v>
      </c>
      <c r="M178">
        <f t="shared" si="12"/>
        <v>2.3682429922852339</v>
      </c>
      <c r="N178">
        <f t="shared" si="13"/>
        <v>218.64360494170785</v>
      </c>
    </row>
    <row r="179" spans="7:14" x14ac:dyDescent="0.25">
      <c r="G179">
        <v>177</v>
      </c>
      <c r="H179">
        <v>0.664512735569595</v>
      </c>
      <c r="I179">
        <v>0.49094861374729259</v>
      </c>
      <c r="J179">
        <f t="shared" si="14"/>
        <v>13.625741975822304</v>
      </c>
      <c r="K179">
        <f t="shared" si="10"/>
        <v>3.1805816578372279</v>
      </c>
      <c r="L179">
        <f t="shared" si="11"/>
        <v>3.8804927023789437</v>
      </c>
      <c r="M179">
        <f t="shared" si="12"/>
        <v>3.9595172499261659</v>
      </c>
      <c r="N179">
        <f t="shared" si="13"/>
        <v>9086.2091539396915</v>
      </c>
    </row>
    <row r="180" spans="7:14" x14ac:dyDescent="0.25">
      <c r="G180">
        <v>178</v>
      </c>
      <c r="H180">
        <v>0.33463657718546924</v>
      </c>
      <c r="I180">
        <v>0.40767826378493455</v>
      </c>
      <c r="J180">
        <f t="shared" si="14"/>
        <v>7.3580949665239155</v>
      </c>
      <c r="K180">
        <f t="shared" si="10"/>
        <v>2.386101926377731</v>
      </c>
      <c r="L180">
        <f t="shared" si="11"/>
        <v>0</v>
      </c>
      <c r="M180">
        <f t="shared" si="12"/>
        <v>2.386101926377731</v>
      </c>
      <c r="N180">
        <f t="shared" si="13"/>
        <v>236.82407771671947</v>
      </c>
    </row>
    <row r="181" spans="7:14" x14ac:dyDescent="0.25">
      <c r="G181">
        <v>179</v>
      </c>
      <c r="H181">
        <v>0.14581894780041738</v>
      </c>
      <c r="I181">
        <v>0.54084973686386439</v>
      </c>
      <c r="J181">
        <f t="shared" si="14"/>
        <v>3.77056000820793</v>
      </c>
      <c r="K181">
        <f t="shared" si="10"/>
        <v>1.4240767282344706</v>
      </c>
      <c r="L181">
        <f t="shared" si="11"/>
        <v>0</v>
      </c>
      <c r="M181">
        <f t="shared" si="12"/>
        <v>1.4240767282344706</v>
      </c>
      <c r="N181">
        <f t="shared" si="13"/>
        <v>26.866151723703968</v>
      </c>
    </row>
    <row r="182" spans="7:14" x14ac:dyDescent="0.25">
      <c r="G182">
        <v>180</v>
      </c>
      <c r="H182">
        <v>0.76582761703372204</v>
      </c>
      <c r="I182">
        <v>0.5384347324590959</v>
      </c>
      <c r="J182">
        <f t="shared" si="14"/>
        <v>15.55072472364072</v>
      </c>
      <c r="K182">
        <f t="shared" si="10"/>
        <v>3.344922231044364</v>
      </c>
      <c r="L182">
        <f t="shared" si="11"/>
        <v>4.1893638707887337</v>
      </c>
      <c r="M182">
        <f t="shared" si="12"/>
        <v>4.2474379220758474</v>
      </c>
      <c r="N182">
        <f t="shared" si="13"/>
        <v>17875.676128768166</v>
      </c>
    </row>
    <row r="183" spans="7:14" x14ac:dyDescent="0.25">
      <c r="G183">
        <v>181</v>
      </c>
      <c r="H183">
        <v>0.43582209743085132</v>
      </c>
      <c r="I183">
        <v>0.78112862210658851</v>
      </c>
      <c r="J183">
        <f t="shared" si="14"/>
        <v>9.2806198511861755</v>
      </c>
      <c r="K183">
        <f t="shared" si="10"/>
        <v>2.6920641584051888</v>
      </c>
      <c r="L183">
        <f t="shared" si="11"/>
        <v>0</v>
      </c>
      <c r="M183">
        <f t="shared" si="12"/>
        <v>2.6920641584051888</v>
      </c>
      <c r="N183">
        <f t="shared" si="13"/>
        <v>538.10209882651122</v>
      </c>
    </row>
    <row r="184" spans="7:14" x14ac:dyDescent="0.25">
      <c r="G184">
        <v>182</v>
      </c>
      <c r="H184">
        <v>0.4269782011536758</v>
      </c>
      <c r="I184">
        <v>0.21417941978413202</v>
      </c>
      <c r="J184">
        <f t="shared" si="14"/>
        <v>9.1125858219198399</v>
      </c>
      <c r="K184">
        <f t="shared" si="10"/>
        <v>2.6683213764748208</v>
      </c>
      <c r="L184">
        <f t="shared" si="11"/>
        <v>0</v>
      </c>
      <c r="M184">
        <f t="shared" si="12"/>
        <v>2.6683213764748208</v>
      </c>
      <c r="N184">
        <f t="shared" si="13"/>
        <v>425.32530193406245</v>
      </c>
    </row>
    <row r="185" spans="7:14" x14ac:dyDescent="0.25">
      <c r="G185">
        <v>183</v>
      </c>
      <c r="H185">
        <v>0.92825144666162251</v>
      </c>
      <c r="I185">
        <v>0.97214459876968784</v>
      </c>
      <c r="J185">
        <f t="shared" si="14"/>
        <v>18.636777486570828</v>
      </c>
      <c r="K185">
        <f t="shared" si="10"/>
        <v>3.5676811938539288</v>
      </c>
      <c r="L185">
        <f t="shared" si="11"/>
        <v>4.5100072790057135</v>
      </c>
      <c r="M185">
        <f t="shared" si="12"/>
        <v>4.5569712337182278</v>
      </c>
      <c r="N185">
        <f t="shared" si="13"/>
        <v>44940.281284925637</v>
      </c>
    </row>
    <row r="186" spans="7:14" x14ac:dyDescent="0.25">
      <c r="G186">
        <v>184</v>
      </c>
      <c r="H186">
        <v>0.40209748958394798</v>
      </c>
      <c r="I186">
        <v>0.38596854012949511</v>
      </c>
      <c r="J186">
        <f t="shared" si="14"/>
        <v>8.6398523020950115</v>
      </c>
      <c r="K186">
        <f t="shared" si="10"/>
        <v>2.5987897990316493</v>
      </c>
      <c r="L186">
        <f t="shared" si="11"/>
        <v>0</v>
      </c>
      <c r="M186">
        <f t="shared" si="12"/>
        <v>2.5987897990316493</v>
      </c>
      <c r="N186">
        <f t="shared" si="13"/>
        <v>383.97035628172483</v>
      </c>
    </row>
    <row r="187" spans="7:14" x14ac:dyDescent="0.25">
      <c r="G187">
        <v>185</v>
      </c>
      <c r="H187">
        <v>0.91578250033627651</v>
      </c>
      <c r="I187">
        <v>0.15051305260734593</v>
      </c>
      <c r="J187">
        <f t="shared" si="14"/>
        <v>18.399867506389253</v>
      </c>
      <c r="K187">
        <f t="shared" si="10"/>
        <v>3.5520190754832619</v>
      </c>
      <c r="L187">
        <f t="shared" si="11"/>
        <v>4.4898348564464508</v>
      </c>
      <c r="M187">
        <f t="shared" si="12"/>
        <v>4.5372632629589713</v>
      </c>
      <c r="N187">
        <f t="shared" si="13"/>
        <v>30588.028802257275</v>
      </c>
    </row>
    <row r="188" spans="7:14" x14ac:dyDescent="0.25">
      <c r="G188">
        <v>186</v>
      </c>
      <c r="H188">
        <v>0.64198899927929487</v>
      </c>
      <c r="I188">
        <v>0.54165975039930536</v>
      </c>
      <c r="J188">
        <f t="shared" si="14"/>
        <v>13.197790986306602</v>
      </c>
      <c r="K188">
        <f t="shared" si="10"/>
        <v>3.1406463981118371</v>
      </c>
      <c r="L188">
        <f t="shared" si="11"/>
        <v>3.7893995121833122</v>
      </c>
      <c r="M188">
        <f t="shared" si="12"/>
        <v>3.8773639011206913</v>
      </c>
      <c r="N188">
        <f t="shared" si="13"/>
        <v>7631.2327979403581</v>
      </c>
    </row>
    <row r="189" spans="7:14" x14ac:dyDescent="0.25">
      <c r="G189">
        <v>187</v>
      </c>
      <c r="H189">
        <v>0.87977174763867561</v>
      </c>
      <c r="I189">
        <v>0.61304685500147771</v>
      </c>
      <c r="J189">
        <f t="shared" si="14"/>
        <v>17.715663205134838</v>
      </c>
      <c r="K189">
        <f t="shared" si="10"/>
        <v>3.5055595311977852</v>
      </c>
      <c r="L189">
        <f t="shared" si="11"/>
        <v>4.4282132362415503</v>
      </c>
      <c r="M189">
        <f t="shared" si="12"/>
        <v>4.4772350274332453</v>
      </c>
      <c r="N189">
        <f t="shared" si="13"/>
        <v>31016.906567529699</v>
      </c>
    </row>
    <row r="190" spans="7:14" x14ac:dyDescent="0.25">
      <c r="G190">
        <v>188</v>
      </c>
      <c r="H190">
        <v>0.96493390773211762</v>
      </c>
      <c r="I190">
        <v>0.41438928347098158</v>
      </c>
      <c r="J190">
        <f t="shared" si="14"/>
        <v>19.333744246910236</v>
      </c>
      <c r="K190">
        <f t="shared" si="10"/>
        <v>3.612566348573754</v>
      </c>
      <c r="L190">
        <f t="shared" si="11"/>
        <v>4.5662932359627932</v>
      </c>
      <c r="M190">
        <f t="shared" si="12"/>
        <v>4.6121023162852897</v>
      </c>
      <c r="N190">
        <f t="shared" si="13"/>
        <v>39929.042696332755</v>
      </c>
    </row>
    <row r="191" spans="7:14" x14ac:dyDescent="0.25">
      <c r="G191">
        <v>189</v>
      </c>
      <c r="H191">
        <v>0.25865460608222746</v>
      </c>
      <c r="I191">
        <v>0.71950764838263137</v>
      </c>
      <c r="J191">
        <f t="shared" si="14"/>
        <v>5.9144375155623212</v>
      </c>
      <c r="K191">
        <f t="shared" si="10"/>
        <v>2.0878267456578925</v>
      </c>
      <c r="L191">
        <f t="shared" si="11"/>
        <v>0</v>
      </c>
      <c r="M191">
        <f t="shared" si="12"/>
        <v>2.0878267456578925</v>
      </c>
      <c r="N191">
        <f t="shared" si="13"/>
        <v>130.88676120367819</v>
      </c>
    </row>
    <row r="192" spans="7:14" x14ac:dyDescent="0.25">
      <c r="G192">
        <v>190</v>
      </c>
      <c r="H192">
        <v>0.25407473585244977</v>
      </c>
      <c r="I192">
        <v>0.34100249367569724</v>
      </c>
      <c r="J192">
        <f t="shared" si="14"/>
        <v>5.8274199811965453</v>
      </c>
      <c r="K192">
        <f t="shared" si="10"/>
        <v>2.0671367885224554</v>
      </c>
      <c r="L192">
        <f t="shared" si="11"/>
        <v>0</v>
      </c>
      <c r="M192">
        <f t="shared" si="12"/>
        <v>2.0671367885224554</v>
      </c>
      <c r="N192">
        <f t="shared" si="13"/>
        <v>111.33977886540696</v>
      </c>
    </row>
    <row r="193" spans="7:14" x14ac:dyDescent="0.25">
      <c r="G193">
        <v>191</v>
      </c>
      <c r="H193">
        <v>0.93338459650658168</v>
      </c>
      <c r="I193">
        <v>0.65130158854025688</v>
      </c>
      <c r="J193">
        <f t="shared" si="14"/>
        <v>18.734307333625051</v>
      </c>
      <c r="K193">
        <f t="shared" si="10"/>
        <v>3.5740678465987314</v>
      </c>
      <c r="L193">
        <f t="shared" si="11"/>
        <v>4.5181514323783052</v>
      </c>
      <c r="M193">
        <f t="shared" si="12"/>
        <v>4.564935575825344</v>
      </c>
      <c r="N193">
        <f t="shared" si="13"/>
        <v>38404.084751388516</v>
      </c>
    </row>
    <row r="194" spans="7:14" x14ac:dyDescent="0.25">
      <c r="G194">
        <v>192</v>
      </c>
      <c r="H194">
        <v>0.43191554385285325</v>
      </c>
      <c r="I194">
        <v>6.1532632852615232E-2</v>
      </c>
      <c r="J194">
        <f t="shared" si="14"/>
        <v>9.2063953332042114</v>
      </c>
      <c r="K194">
        <f t="shared" si="10"/>
        <v>2.6816363913395476</v>
      </c>
      <c r="L194">
        <f t="shared" si="11"/>
        <v>0</v>
      </c>
      <c r="M194">
        <f t="shared" si="12"/>
        <v>2.6816363913395476</v>
      </c>
      <c r="N194">
        <f t="shared" si="13"/>
        <v>402.28577664028501</v>
      </c>
    </row>
    <row r="195" spans="7:14" x14ac:dyDescent="0.25">
      <c r="G195">
        <v>193</v>
      </c>
      <c r="H195">
        <v>0.55976142129627515</v>
      </c>
      <c r="I195">
        <v>0.27781107685987005</v>
      </c>
      <c r="J195">
        <f t="shared" si="14"/>
        <v>11.635467004629227</v>
      </c>
      <c r="K195">
        <f t="shared" ref="K195:K258" si="15">$E$7+$D$8*LOG10(J195-$D$6)</f>
        <v>2.9819140708917025</v>
      </c>
      <c r="L195">
        <f t="shared" ref="L195:L258" si="16">IF(J195&gt;=$D$14,$E$15+$D$16*LOG10(J195-$D$14), 0)</f>
        <v>3.3030816723579384</v>
      </c>
      <c r="M195">
        <f t="shared" ref="M195:M258" si="17">IF(J195&lt;$D$14,K195,LOG10(10^K195+10^L195))</f>
        <v>3.4725636056965246</v>
      </c>
      <c r="N195">
        <f t="shared" ref="N195:N258" si="18">10^(M195+_xlfn.NORM.INV(I195, 0, $D$18))</f>
        <v>2773.9318104079348</v>
      </c>
    </row>
    <row r="196" spans="7:14" x14ac:dyDescent="0.25">
      <c r="G196">
        <v>194</v>
      </c>
      <c r="H196">
        <v>0.33247593520813989</v>
      </c>
      <c r="I196">
        <v>0.28464270617832665</v>
      </c>
      <c r="J196">
        <f t="shared" ref="J196:J259" si="19">$D$6 + H196*(20-$D$6)</f>
        <v>7.317042768954658</v>
      </c>
      <c r="K196">
        <f t="shared" si="15"/>
        <v>2.3786000780247054</v>
      </c>
      <c r="L196">
        <f t="shared" si="16"/>
        <v>0</v>
      </c>
      <c r="M196">
        <f t="shared" si="17"/>
        <v>2.3786000780247054</v>
      </c>
      <c r="N196">
        <f t="shared" si="18"/>
        <v>223.94680294318675</v>
      </c>
    </row>
    <row r="197" spans="7:14" x14ac:dyDescent="0.25">
      <c r="G197">
        <v>195</v>
      </c>
      <c r="H197">
        <v>0.88701003068435857</v>
      </c>
      <c r="I197">
        <v>0.61487446407323831</v>
      </c>
      <c r="J197">
        <f t="shared" si="19"/>
        <v>17.853190583002814</v>
      </c>
      <c r="K197">
        <f t="shared" si="15"/>
        <v>3.5150489173390951</v>
      </c>
      <c r="L197">
        <f t="shared" si="16"/>
        <v>4.4410269375790961</v>
      </c>
      <c r="M197">
        <f t="shared" si="17"/>
        <v>4.4896951042258832</v>
      </c>
      <c r="N197">
        <f t="shared" si="18"/>
        <v>31937.243475215564</v>
      </c>
    </row>
    <row r="198" spans="7:14" x14ac:dyDescent="0.25">
      <c r="G198">
        <v>196</v>
      </c>
      <c r="H198">
        <v>0.77093550162932045</v>
      </c>
      <c r="I198">
        <v>0.68907725308031809</v>
      </c>
      <c r="J198">
        <f t="shared" si="19"/>
        <v>15.647774530957088</v>
      </c>
      <c r="K198">
        <f t="shared" si="15"/>
        <v>3.3526209556731974</v>
      </c>
      <c r="L198">
        <f t="shared" si="16"/>
        <v>4.20193506405277</v>
      </c>
      <c r="M198">
        <f t="shared" si="17"/>
        <v>4.2594022353624439</v>
      </c>
      <c r="N198">
        <f t="shared" si="18"/>
        <v>19233.754133183338</v>
      </c>
    </row>
    <row r="199" spans="7:14" x14ac:dyDescent="0.25">
      <c r="G199">
        <v>197</v>
      </c>
      <c r="H199">
        <v>0.74403465509784472</v>
      </c>
      <c r="I199">
        <v>0.97708049401458563</v>
      </c>
      <c r="J199">
        <f t="shared" si="19"/>
        <v>15.13665844685905</v>
      </c>
      <c r="K199">
        <f t="shared" si="15"/>
        <v>3.3114879392597203</v>
      </c>
      <c r="L199">
        <f t="shared" si="16"/>
        <v>4.1331366392416982</v>
      </c>
      <c r="M199">
        <f t="shared" si="17"/>
        <v>4.1941299353842174</v>
      </c>
      <c r="N199">
        <f t="shared" si="18"/>
        <v>19677.665380105842</v>
      </c>
    </row>
    <row r="200" spans="7:14" x14ac:dyDescent="0.25">
      <c r="G200">
        <v>198</v>
      </c>
      <c r="H200">
        <v>0.89053781148269395</v>
      </c>
      <c r="I200">
        <v>0.22236044890533346</v>
      </c>
      <c r="J200">
        <f t="shared" si="19"/>
        <v>17.920218418171185</v>
      </c>
      <c r="K200">
        <f t="shared" si="15"/>
        <v>3.5196458051317889</v>
      </c>
      <c r="L200">
        <f t="shared" si="16"/>
        <v>4.4471909431222469</v>
      </c>
      <c r="M200">
        <f t="shared" si="17"/>
        <v>4.4956932446557811</v>
      </c>
      <c r="N200">
        <f t="shared" si="18"/>
        <v>28673.516958242872</v>
      </c>
    </row>
    <row r="201" spans="7:14" x14ac:dyDescent="0.25">
      <c r="G201">
        <v>199</v>
      </c>
      <c r="H201">
        <v>0.52680033135576798</v>
      </c>
      <c r="I201">
        <v>0.94335281769754176</v>
      </c>
      <c r="J201">
        <f t="shared" si="19"/>
        <v>11.009206295759592</v>
      </c>
      <c r="K201">
        <f t="shared" si="15"/>
        <v>2.911628939778133</v>
      </c>
      <c r="L201">
        <f t="shared" si="16"/>
        <v>2.9529464069398812</v>
      </c>
      <c r="M201">
        <f t="shared" si="17"/>
        <v>3.2338088362338788</v>
      </c>
      <c r="N201">
        <f t="shared" si="18"/>
        <v>2055.8277804852496</v>
      </c>
    </row>
    <row r="202" spans="7:14" x14ac:dyDescent="0.25">
      <c r="G202">
        <v>200</v>
      </c>
      <c r="H202">
        <v>0.53858625548624073</v>
      </c>
      <c r="I202">
        <v>0.61711355408614299</v>
      </c>
      <c r="J202">
        <f t="shared" si="19"/>
        <v>11.233138854238574</v>
      </c>
      <c r="K202">
        <f t="shared" si="15"/>
        <v>2.9372535443896632</v>
      </c>
      <c r="L202">
        <f t="shared" si="16"/>
        <v>3.0982898983257297</v>
      </c>
      <c r="M202">
        <f t="shared" si="17"/>
        <v>3.3262233776991637</v>
      </c>
      <c r="N202">
        <f t="shared" si="18"/>
        <v>2193.4049023692373</v>
      </c>
    </row>
    <row r="203" spans="7:14" x14ac:dyDescent="0.25">
      <c r="G203">
        <v>201</v>
      </c>
      <c r="H203">
        <v>0.53342566827772797</v>
      </c>
      <c r="I203">
        <v>0.52953046071365606</v>
      </c>
      <c r="J203">
        <f t="shared" si="19"/>
        <v>11.135087697276832</v>
      </c>
      <c r="K203">
        <f t="shared" si="15"/>
        <v>2.9261032611454745</v>
      </c>
      <c r="L203">
        <f t="shared" si="16"/>
        <v>3.0381990142335971</v>
      </c>
      <c r="M203">
        <f t="shared" si="17"/>
        <v>3.2867877679342485</v>
      </c>
      <c r="N203">
        <f t="shared" si="18"/>
        <v>1952.0558933156515</v>
      </c>
    </row>
    <row r="204" spans="7:14" x14ac:dyDescent="0.25">
      <c r="G204">
        <v>202</v>
      </c>
      <c r="H204">
        <v>0.58341582710750151</v>
      </c>
      <c r="I204">
        <v>0.494172994521064</v>
      </c>
      <c r="J204">
        <f t="shared" si="19"/>
        <v>12.084900715042529</v>
      </c>
      <c r="K204">
        <f t="shared" si="15"/>
        <v>3.0298480522517153</v>
      </c>
      <c r="L204">
        <f t="shared" si="16"/>
        <v>3.4791724702972684</v>
      </c>
      <c r="M204">
        <f t="shared" si="17"/>
        <v>3.6112289807101181</v>
      </c>
      <c r="N204">
        <f t="shared" si="18"/>
        <v>4078.4829201098992</v>
      </c>
    </row>
    <row r="205" spans="7:14" x14ac:dyDescent="0.25">
      <c r="G205">
        <v>203</v>
      </c>
      <c r="H205">
        <v>0.7992293681564222</v>
      </c>
      <c r="I205">
        <v>0.6101267103352519</v>
      </c>
      <c r="J205">
        <f t="shared" si="19"/>
        <v>16.185357994972023</v>
      </c>
      <c r="K205">
        <f t="shared" si="15"/>
        <v>3.39436332500305</v>
      </c>
      <c r="L205">
        <f t="shared" si="16"/>
        <v>4.2678791725394882</v>
      </c>
      <c r="M205">
        <f t="shared" si="17"/>
        <v>4.3224189341812682</v>
      </c>
      <c r="N205">
        <f t="shared" si="18"/>
        <v>21697.085440840488</v>
      </c>
    </row>
    <row r="206" spans="7:14" x14ac:dyDescent="0.25">
      <c r="G206">
        <v>204</v>
      </c>
      <c r="H206">
        <v>0.42234551057397363</v>
      </c>
      <c r="I206">
        <v>0.94512729314464594</v>
      </c>
      <c r="J206">
        <f t="shared" si="19"/>
        <v>9.0245647009054988</v>
      </c>
      <c r="K206">
        <f t="shared" si="15"/>
        <v>2.6556871868259178</v>
      </c>
      <c r="L206">
        <f t="shared" si="16"/>
        <v>0</v>
      </c>
      <c r="M206">
        <f t="shared" si="17"/>
        <v>2.6556871868259178</v>
      </c>
      <c r="N206">
        <f t="shared" si="18"/>
        <v>544.06916222183054</v>
      </c>
    </row>
    <row r="207" spans="7:14" x14ac:dyDescent="0.25">
      <c r="G207">
        <v>205</v>
      </c>
      <c r="H207">
        <v>0.43762149704842068</v>
      </c>
      <c r="I207">
        <v>0.26124903341333583</v>
      </c>
      <c r="J207">
        <f t="shared" si="19"/>
        <v>9.3148084439199934</v>
      </c>
      <c r="K207">
        <f t="shared" si="15"/>
        <v>2.6968358944631601</v>
      </c>
      <c r="L207">
        <f t="shared" si="16"/>
        <v>0</v>
      </c>
      <c r="M207">
        <f t="shared" si="17"/>
        <v>2.6968358944631601</v>
      </c>
      <c r="N207">
        <f t="shared" si="18"/>
        <v>462.23297229455812</v>
      </c>
    </row>
    <row r="208" spans="7:14" x14ac:dyDescent="0.25">
      <c r="G208">
        <v>206</v>
      </c>
      <c r="H208">
        <v>0.62907510151334045</v>
      </c>
      <c r="I208">
        <v>0.79322867974463596</v>
      </c>
      <c r="J208">
        <f t="shared" si="19"/>
        <v>12.952426928753468</v>
      </c>
      <c r="K208">
        <f t="shared" si="15"/>
        <v>3.1171128248475184</v>
      </c>
      <c r="L208">
        <f t="shared" si="16"/>
        <v>3.7314990821272307</v>
      </c>
      <c r="M208">
        <f t="shared" si="17"/>
        <v>3.8259716709532658</v>
      </c>
      <c r="N208">
        <f t="shared" si="18"/>
        <v>7359.620729242507</v>
      </c>
    </row>
    <row r="209" spans="7:14" x14ac:dyDescent="0.25">
      <c r="G209">
        <v>207</v>
      </c>
      <c r="H209">
        <v>0.99130533466733317</v>
      </c>
      <c r="I209">
        <v>0.52408880751086706</v>
      </c>
      <c r="J209">
        <f t="shared" si="19"/>
        <v>19.834801358679329</v>
      </c>
      <c r="K209">
        <f t="shared" si="15"/>
        <v>3.6437926834104419</v>
      </c>
      <c r="L209">
        <f t="shared" si="16"/>
        <v>4.6042184281228078</v>
      </c>
      <c r="M209">
        <f t="shared" si="17"/>
        <v>4.6493615416473366</v>
      </c>
      <c r="N209">
        <f t="shared" si="18"/>
        <v>44914.075309944907</v>
      </c>
    </row>
    <row r="210" spans="7:14" x14ac:dyDescent="0.25">
      <c r="G210">
        <v>208</v>
      </c>
      <c r="H210">
        <v>0.50420523144868301</v>
      </c>
      <c r="I210">
        <v>4.8413227075380427E-2</v>
      </c>
      <c r="J210">
        <f t="shared" si="19"/>
        <v>10.579899397524978</v>
      </c>
      <c r="K210">
        <f t="shared" si="15"/>
        <v>2.8608590944033709</v>
      </c>
      <c r="L210">
        <f t="shared" si="16"/>
        <v>2.5510988266637744</v>
      </c>
      <c r="M210">
        <f t="shared" si="17"/>
        <v>3.0340597187318115</v>
      </c>
      <c r="N210">
        <f t="shared" si="18"/>
        <v>893.38331951317264</v>
      </c>
    </row>
    <row r="211" spans="7:14" x14ac:dyDescent="0.25">
      <c r="G211">
        <v>209</v>
      </c>
      <c r="H211">
        <v>0.30320893692856254</v>
      </c>
      <c r="I211">
        <v>0.72286813141382422</v>
      </c>
      <c r="J211">
        <f t="shared" si="19"/>
        <v>6.7609698016426885</v>
      </c>
      <c r="K211">
        <f t="shared" si="15"/>
        <v>2.2718848285701596</v>
      </c>
      <c r="L211">
        <f t="shared" si="16"/>
        <v>0</v>
      </c>
      <c r="M211">
        <f t="shared" si="17"/>
        <v>2.2718848285701596</v>
      </c>
      <c r="N211">
        <f t="shared" si="18"/>
        <v>200.19534981711465</v>
      </c>
    </row>
    <row r="212" spans="7:14" x14ac:dyDescent="0.25">
      <c r="G212">
        <v>210</v>
      </c>
      <c r="H212">
        <v>5.9494559784478596E-2</v>
      </c>
      <c r="I212">
        <v>3.7588304858714783E-2</v>
      </c>
      <c r="J212">
        <f t="shared" si="19"/>
        <v>2.1303966359050932</v>
      </c>
      <c r="K212">
        <f t="shared" si="15"/>
        <v>0.38584551566146075</v>
      </c>
      <c r="L212">
        <f t="shared" si="16"/>
        <v>0</v>
      </c>
      <c r="M212">
        <f t="shared" si="17"/>
        <v>0.38584551566146075</v>
      </c>
      <c r="N212">
        <f t="shared" si="18"/>
        <v>1.9809624761320641</v>
      </c>
    </row>
    <row r="213" spans="7:14" x14ac:dyDescent="0.25">
      <c r="G213">
        <v>211</v>
      </c>
      <c r="H213">
        <v>0.30183299225616311</v>
      </c>
      <c r="I213">
        <v>6.1036135460287522E-2</v>
      </c>
      <c r="J213">
        <f t="shared" si="19"/>
        <v>6.7348268528670996</v>
      </c>
      <c r="K213">
        <f t="shared" si="15"/>
        <v>2.2666173923374542</v>
      </c>
      <c r="L213">
        <f t="shared" si="16"/>
        <v>0</v>
      </c>
      <c r="M213">
        <f t="shared" si="17"/>
        <v>2.2666173923374542</v>
      </c>
      <c r="N213">
        <f t="shared" si="18"/>
        <v>154.636034885751</v>
      </c>
    </row>
    <row r="214" spans="7:14" x14ac:dyDescent="0.25">
      <c r="G214">
        <v>212</v>
      </c>
      <c r="H214">
        <v>0.33544800478348025</v>
      </c>
      <c r="I214">
        <v>0.6196317118452479</v>
      </c>
      <c r="J214">
        <f t="shared" si="19"/>
        <v>7.3735120908861251</v>
      </c>
      <c r="K214">
        <f t="shared" si="15"/>
        <v>2.3889067360789582</v>
      </c>
      <c r="L214">
        <f t="shared" si="16"/>
        <v>0</v>
      </c>
      <c r="M214">
        <f t="shared" si="17"/>
        <v>2.3889067360789582</v>
      </c>
      <c r="N214">
        <f t="shared" si="18"/>
        <v>253.59017290386078</v>
      </c>
    </row>
    <row r="215" spans="7:14" x14ac:dyDescent="0.25">
      <c r="G215">
        <v>213</v>
      </c>
      <c r="H215">
        <v>0.57851401303549899</v>
      </c>
      <c r="I215">
        <v>0.8993846191913939</v>
      </c>
      <c r="J215">
        <f t="shared" si="19"/>
        <v>11.99176624767448</v>
      </c>
      <c r="K215">
        <f t="shared" si="15"/>
        <v>3.0200765228138806</v>
      </c>
      <c r="L215">
        <f t="shared" si="16"/>
        <v>3.4460279640803884</v>
      </c>
      <c r="M215">
        <f t="shared" si="17"/>
        <v>3.5843353780437917</v>
      </c>
      <c r="N215">
        <f t="shared" si="18"/>
        <v>4448.7502445299897</v>
      </c>
    </row>
    <row r="216" spans="7:14" x14ac:dyDescent="0.25">
      <c r="G216">
        <v>214</v>
      </c>
      <c r="H216">
        <v>0.61202587364072936</v>
      </c>
      <c r="I216">
        <v>0.90123474308990303</v>
      </c>
      <c r="J216">
        <f t="shared" si="19"/>
        <v>12.628491599173858</v>
      </c>
      <c r="K216">
        <f t="shared" si="15"/>
        <v>3.0852922545738375</v>
      </c>
      <c r="L216">
        <f t="shared" si="16"/>
        <v>3.6472098994115796</v>
      </c>
      <c r="M216">
        <f t="shared" si="17"/>
        <v>3.7524507076024158</v>
      </c>
      <c r="N216">
        <f t="shared" si="18"/>
        <v>6559.6650860044647</v>
      </c>
    </row>
    <row r="217" spans="7:14" x14ac:dyDescent="0.25">
      <c r="G217">
        <v>215</v>
      </c>
      <c r="H217">
        <v>0.50404269446090166</v>
      </c>
      <c r="I217">
        <v>0.13731167321918625</v>
      </c>
      <c r="J217">
        <f t="shared" si="19"/>
        <v>10.576811194757132</v>
      </c>
      <c r="K217">
        <f t="shared" si="15"/>
        <v>2.8604856999067936</v>
      </c>
      <c r="L217">
        <f t="shared" si="16"/>
        <v>2.5472261351369139</v>
      </c>
      <c r="M217">
        <f t="shared" si="17"/>
        <v>3.0325385798199558</v>
      </c>
      <c r="N217">
        <f t="shared" si="18"/>
        <v>950.41813159252035</v>
      </c>
    </row>
    <row r="218" spans="7:14" x14ac:dyDescent="0.25">
      <c r="G218">
        <v>216</v>
      </c>
      <c r="H218">
        <v>0.50916495097196179</v>
      </c>
      <c r="I218">
        <v>0.8063357311177729</v>
      </c>
      <c r="J218">
        <f t="shared" si="19"/>
        <v>10.674134068467275</v>
      </c>
      <c r="K218">
        <f t="shared" si="15"/>
        <v>2.8721955033203996</v>
      </c>
      <c r="L218">
        <f t="shared" si="16"/>
        <v>2.660306168603995</v>
      </c>
      <c r="M218">
        <f t="shared" si="17"/>
        <v>3.0800770820719294</v>
      </c>
      <c r="N218">
        <f t="shared" si="18"/>
        <v>1328.3138250126899</v>
      </c>
    </row>
    <row r="219" spans="7:14" x14ac:dyDescent="0.25">
      <c r="G219">
        <v>217</v>
      </c>
      <c r="H219">
        <v>0.44753363355509757</v>
      </c>
      <c r="I219">
        <v>2.325844810416966E-2</v>
      </c>
      <c r="J219">
        <f t="shared" si="19"/>
        <v>9.5031390375468536</v>
      </c>
      <c r="K219">
        <f t="shared" si="15"/>
        <v>2.7227746464717066</v>
      </c>
      <c r="L219">
        <f t="shared" si="16"/>
        <v>0</v>
      </c>
      <c r="M219">
        <f t="shared" si="17"/>
        <v>2.7227746464717066</v>
      </c>
      <c r="N219">
        <f t="shared" si="18"/>
        <v>419.99199992130258</v>
      </c>
    </row>
    <row r="220" spans="7:14" x14ac:dyDescent="0.25">
      <c r="G220">
        <v>218</v>
      </c>
      <c r="H220">
        <v>0.16447256175728908</v>
      </c>
      <c r="I220">
        <v>7.1807519424701871E-2</v>
      </c>
      <c r="J220">
        <f t="shared" si="19"/>
        <v>4.1249786733884921</v>
      </c>
      <c r="K220">
        <f t="shared" si="15"/>
        <v>1.5634887195326408</v>
      </c>
      <c r="L220">
        <f t="shared" si="16"/>
        <v>0</v>
      </c>
      <c r="M220">
        <f t="shared" si="17"/>
        <v>1.5634887195326408</v>
      </c>
      <c r="N220">
        <f t="shared" si="18"/>
        <v>30.928986605599604</v>
      </c>
    </row>
    <row r="221" spans="7:14" x14ac:dyDescent="0.25">
      <c r="G221">
        <v>219</v>
      </c>
      <c r="H221">
        <v>0.11643224857074086</v>
      </c>
      <c r="I221">
        <v>0.47619382786733166</v>
      </c>
      <c r="J221">
        <f t="shared" si="19"/>
        <v>3.2122127228440762</v>
      </c>
      <c r="K221">
        <f t="shared" si="15"/>
        <v>1.163434927224017</v>
      </c>
      <c r="L221">
        <f t="shared" si="16"/>
        <v>0</v>
      </c>
      <c r="M221">
        <f t="shared" si="17"/>
        <v>1.163434927224017</v>
      </c>
      <c r="N221">
        <f t="shared" si="18"/>
        <v>14.469365695941184</v>
      </c>
    </row>
    <row r="222" spans="7:14" x14ac:dyDescent="0.25">
      <c r="G222">
        <v>220</v>
      </c>
      <c r="H222">
        <v>0.39890081393753252</v>
      </c>
      <c r="I222">
        <v>0.95055310333543941</v>
      </c>
      <c r="J222">
        <f t="shared" si="19"/>
        <v>8.5791154648131176</v>
      </c>
      <c r="K222">
        <f t="shared" si="15"/>
        <v>2.5895459611317593</v>
      </c>
      <c r="L222">
        <f t="shared" si="16"/>
        <v>0</v>
      </c>
      <c r="M222">
        <f t="shared" si="17"/>
        <v>2.5895459611317593</v>
      </c>
      <c r="N222">
        <f t="shared" si="18"/>
        <v>469.9568423429734</v>
      </c>
    </row>
    <row r="223" spans="7:14" x14ac:dyDescent="0.25">
      <c r="G223">
        <v>221</v>
      </c>
      <c r="H223">
        <v>0.8848329758976532</v>
      </c>
      <c r="I223">
        <v>5.7302518783793444E-2</v>
      </c>
      <c r="J223">
        <f t="shared" si="19"/>
        <v>17.81182654205541</v>
      </c>
      <c r="K223">
        <f t="shared" si="15"/>
        <v>3.5122029666073393</v>
      </c>
      <c r="L223">
        <f t="shared" si="16"/>
        <v>4.4371967162280352</v>
      </c>
      <c r="M223">
        <f t="shared" si="17"/>
        <v>4.4859693328489758</v>
      </c>
      <c r="N223">
        <f t="shared" si="18"/>
        <v>25531.593009201344</v>
      </c>
    </row>
    <row r="224" spans="7:14" x14ac:dyDescent="0.25">
      <c r="G224">
        <v>222</v>
      </c>
      <c r="H224">
        <v>0.36199138455671764</v>
      </c>
      <c r="I224">
        <v>0.44867462820079662</v>
      </c>
      <c r="J224">
        <f t="shared" si="19"/>
        <v>7.8778363065776356</v>
      </c>
      <c r="K224">
        <f t="shared" si="15"/>
        <v>2.477101459590946</v>
      </c>
      <c r="L224">
        <f t="shared" si="16"/>
        <v>0</v>
      </c>
      <c r="M224">
        <f t="shared" si="17"/>
        <v>2.477101459590946</v>
      </c>
      <c r="N224">
        <f t="shared" si="18"/>
        <v>295.56358747861384</v>
      </c>
    </row>
    <row r="225" spans="7:14" x14ac:dyDescent="0.25">
      <c r="G225">
        <v>223</v>
      </c>
      <c r="H225">
        <v>0.49787429703742003</v>
      </c>
      <c r="I225">
        <v>0.61366067595345974</v>
      </c>
      <c r="J225">
        <f t="shared" si="19"/>
        <v>10.45961164371098</v>
      </c>
      <c r="K225">
        <f t="shared" si="15"/>
        <v>2.8462253844865053</v>
      </c>
      <c r="L225">
        <f t="shared" si="16"/>
        <v>2.3824928961132743</v>
      </c>
      <c r="M225">
        <f t="shared" si="17"/>
        <v>2.9745502072920398</v>
      </c>
      <c r="N225">
        <f t="shared" si="18"/>
        <v>974.97583544047438</v>
      </c>
    </row>
    <row r="226" spans="7:14" x14ac:dyDescent="0.25">
      <c r="G226">
        <v>224</v>
      </c>
      <c r="H226">
        <v>7.6486121211409852E-3</v>
      </c>
      <c r="I226">
        <v>0.86904739258270391</v>
      </c>
      <c r="J226">
        <f t="shared" si="19"/>
        <v>1.1453236303016787</v>
      </c>
      <c r="K226">
        <f t="shared" si="15"/>
        <v>-1.9898734657135051</v>
      </c>
      <c r="L226">
        <f t="shared" si="16"/>
        <v>0</v>
      </c>
      <c r="M226">
        <f t="shared" si="17"/>
        <v>-1.9898734657135051</v>
      </c>
      <c r="N226">
        <f t="shared" si="18"/>
        <v>1.1647199232339559E-2</v>
      </c>
    </row>
    <row r="227" spans="7:14" x14ac:dyDescent="0.25">
      <c r="G227">
        <v>225</v>
      </c>
      <c r="H227">
        <v>0.25448311201756824</v>
      </c>
      <c r="I227">
        <v>0.33963065559517702</v>
      </c>
      <c r="J227">
        <f t="shared" si="19"/>
        <v>5.8351791283337962</v>
      </c>
      <c r="K227">
        <f t="shared" si="15"/>
        <v>2.0689967466128665</v>
      </c>
      <c r="L227">
        <f t="shared" si="16"/>
        <v>0</v>
      </c>
      <c r="M227">
        <f t="shared" si="17"/>
        <v>2.0689967466128665</v>
      </c>
      <c r="N227">
        <f t="shared" si="18"/>
        <v>111.76946683896314</v>
      </c>
    </row>
    <row r="228" spans="7:14" x14ac:dyDescent="0.25">
      <c r="G228">
        <v>226</v>
      </c>
      <c r="H228">
        <v>0.19639919921956717</v>
      </c>
      <c r="I228">
        <v>5.4001164067926655E-2</v>
      </c>
      <c r="J228">
        <f t="shared" si="19"/>
        <v>4.7315847851717763</v>
      </c>
      <c r="K228">
        <f t="shared" si="15"/>
        <v>1.7689454017556465</v>
      </c>
      <c r="L228">
        <f t="shared" si="16"/>
        <v>0</v>
      </c>
      <c r="M228">
        <f t="shared" si="17"/>
        <v>1.7689454017556465</v>
      </c>
      <c r="N228">
        <f t="shared" si="18"/>
        <v>48.818399606772473</v>
      </c>
    </row>
    <row r="229" spans="7:14" x14ac:dyDescent="0.25">
      <c r="G229">
        <v>227</v>
      </c>
      <c r="H229">
        <v>0.58223774651337079</v>
      </c>
      <c r="I229">
        <v>8.5211077603206786E-2</v>
      </c>
      <c r="J229">
        <f t="shared" si="19"/>
        <v>12.062517183754045</v>
      </c>
      <c r="K229">
        <f t="shared" si="15"/>
        <v>3.0275071208369972</v>
      </c>
      <c r="L229">
        <f t="shared" si="16"/>
        <v>3.4713438397104475</v>
      </c>
      <c r="M229">
        <f t="shared" si="17"/>
        <v>3.6048459001658202</v>
      </c>
      <c r="N229">
        <f t="shared" si="18"/>
        <v>3437.9809812093131</v>
      </c>
    </row>
    <row r="230" spans="7:14" x14ac:dyDescent="0.25">
      <c r="G230">
        <v>228</v>
      </c>
      <c r="H230">
        <v>0.28435762854927216</v>
      </c>
      <c r="I230">
        <v>0.47062994851580942</v>
      </c>
      <c r="J230">
        <f t="shared" si="19"/>
        <v>6.402794942436171</v>
      </c>
      <c r="K230">
        <f t="shared" si="15"/>
        <v>2.1975458577407014</v>
      </c>
      <c r="L230">
        <f t="shared" si="16"/>
        <v>0</v>
      </c>
      <c r="M230">
        <f t="shared" si="17"/>
        <v>2.1975458577407014</v>
      </c>
      <c r="N230">
        <f t="shared" si="18"/>
        <v>156.26493522450511</v>
      </c>
    </row>
    <row r="231" spans="7:14" x14ac:dyDescent="0.25">
      <c r="G231">
        <v>229</v>
      </c>
      <c r="H231">
        <v>0.17668742279222416</v>
      </c>
      <c r="I231">
        <v>0.44726394364566691</v>
      </c>
      <c r="J231">
        <f t="shared" si="19"/>
        <v>4.3570610330522594</v>
      </c>
      <c r="K231">
        <f t="shared" si="15"/>
        <v>1.6464545307077716</v>
      </c>
      <c r="L231">
        <f t="shared" si="16"/>
        <v>0</v>
      </c>
      <c r="M231">
        <f t="shared" si="17"/>
        <v>1.6464545307077716</v>
      </c>
      <c r="N231">
        <f t="shared" si="18"/>
        <v>43.634065421133592</v>
      </c>
    </row>
    <row r="232" spans="7:14" x14ac:dyDescent="0.25">
      <c r="G232">
        <v>230</v>
      </c>
      <c r="H232">
        <v>0.80346070614021625</v>
      </c>
      <c r="I232">
        <v>0.53398860660784042</v>
      </c>
      <c r="J232">
        <f t="shared" si="19"/>
        <v>16.265753416664111</v>
      </c>
      <c r="K232">
        <f t="shared" si="15"/>
        <v>3.4004785468594907</v>
      </c>
      <c r="L232">
        <f t="shared" si="16"/>
        <v>4.2772452988863598</v>
      </c>
      <c r="M232">
        <f t="shared" si="17"/>
        <v>4.331402662760973</v>
      </c>
      <c r="N232">
        <f t="shared" si="18"/>
        <v>21660.459696456615</v>
      </c>
    </row>
    <row r="233" spans="7:14" x14ac:dyDescent="0.25">
      <c r="G233">
        <v>231</v>
      </c>
      <c r="H233">
        <v>0.53485634267610627</v>
      </c>
      <c r="I233">
        <v>0.58263092027685859</v>
      </c>
      <c r="J233">
        <f t="shared" si="19"/>
        <v>11.162270510846019</v>
      </c>
      <c r="K233">
        <f t="shared" si="15"/>
        <v>2.9292052354017439</v>
      </c>
      <c r="L233">
        <f t="shared" si="16"/>
        <v>3.0553629443140262</v>
      </c>
      <c r="M233">
        <f t="shared" si="17"/>
        <v>3.2978789951889604</v>
      </c>
      <c r="N233">
        <f t="shared" si="18"/>
        <v>2033.8102260631192</v>
      </c>
    </row>
    <row r="234" spans="7:14" x14ac:dyDescent="0.25">
      <c r="G234">
        <v>232</v>
      </c>
      <c r="H234">
        <v>0.1891037570918459</v>
      </c>
      <c r="I234">
        <v>7.9372190485806127E-2</v>
      </c>
      <c r="J234">
        <f t="shared" si="19"/>
        <v>4.5929713847450717</v>
      </c>
      <c r="K234">
        <f t="shared" si="15"/>
        <v>1.7251065877360194</v>
      </c>
      <c r="L234">
        <f t="shared" si="16"/>
        <v>0</v>
      </c>
      <c r="M234">
        <f t="shared" si="17"/>
        <v>1.7251065877360194</v>
      </c>
      <c r="N234">
        <f t="shared" si="18"/>
        <v>45.148282397871505</v>
      </c>
    </row>
    <row r="235" spans="7:14" x14ac:dyDescent="0.25">
      <c r="G235">
        <v>233</v>
      </c>
      <c r="H235">
        <v>0.50305794321768138</v>
      </c>
      <c r="I235">
        <v>0.87163812216022674</v>
      </c>
      <c r="J235">
        <f t="shared" si="19"/>
        <v>10.558100921135946</v>
      </c>
      <c r="K235">
        <f t="shared" si="15"/>
        <v>2.8582208634642883</v>
      </c>
      <c r="L235">
        <f t="shared" si="16"/>
        <v>2.5233101632130395</v>
      </c>
      <c r="M235">
        <f t="shared" si="17"/>
        <v>3.0233096427791062</v>
      </c>
      <c r="N235">
        <f t="shared" si="18"/>
        <v>1202.3144921987396</v>
      </c>
    </row>
    <row r="236" spans="7:14" x14ac:dyDescent="0.25">
      <c r="G236">
        <v>234</v>
      </c>
      <c r="H236">
        <v>9.4485946254582509E-2</v>
      </c>
      <c r="I236">
        <v>5.4524811288212405E-2</v>
      </c>
      <c r="J236">
        <f t="shared" si="19"/>
        <v>2.7952329788370678</v>
      </c>
      <c r="K236">
        <f t="shared" si="15"/>
        <v>0.9215520793113654</v>
      </c>
      <c r="L236">
        <f t="shared" si="16"/>
        <v>0</v>
      </c>
      <c r="M236">
        <f t="shared" si="17"/>
        <v>0.9215520793113654</v>
      </c>
      <c r="N236">
        <f t="shared" si="18"/>
        <v>6.9410968710865291</v>
      </c>
    </row>
    <row r="237" spans="7:14" x14ac:dyDescent="0.25">
      <c r="G237">
        <v>235</v>
      </c>
      <c r="H237">
        <v>0.57872210778979283</v>
      </c>
      <c r="I237">
        <v>0.46686376823459474</v>
      </c>
      <c r="J237">
        <f t="shared" si="19"/>
        <v>11.995720048006064</v>
      </c>
      <c r="K237">
        <f t="shared" si="15"/>
        <v>3.0204930297092352</v>
      </c>
      <c r="L237">
        <f t="shared" si="16"/>
        <v>3.447466254045688</v>
      </c>
      <c r="M237">
        <f t="shared" si="17"/>
        <v>3.5854952301617962</v>
      </c>
      <c r="N237">
        <f t="shared" si="18"/>
        <v>3813.6201407801286</v>
      </c>
    </row>
    <row r="238" spans="7:14" x14ac:dyDescent="0.25">
      <c r="G238">
        <v>236</v>
      </c>
      <c r="H238">
        <v>0.78317043608857773</v>
      </c>
      <c r="I238">
        <v>0.80779564420727901</v>
      </c>
      <c r="J238">
        <f t="shared" si="19"/>
        <v>15.880238285682976</v>
      </c>
      <c r="K238">
        <f t="shared" si="15"/>
        <v>3.3708562609954793</v>
      </c>
      <c r="L238">
        <f t="shared" si="16"/>
        <v>4.2311894139889104</v>
      </c>
      <c r="M238">
        <f t="shared" si="17"/>
        <v>4.2873059442831627</v>
      </c>
      <c r="N238">
        <f t="shared" si="18"/>
        <v>21418.844394705597</v>
      </c>
    </row>
    <row r="239" spans="7:14" x14ac:dyDescent="0.25">
      <c r="G239">
        <v>237</v>
      </c>
      <c r="H239">
        <v>0.42943459476419188</v>
      </c>
      <c r="I239">
        <v>0.58158172668710773</v>
      </c>
      <c r="J239">
        <f t="shared" si="19"/>
        <v>9.1592573005196449</v>
      </c>
      <c r="K239">
        <f t="shared" si="15"/>
        <v>2.6749649086341734</v>
      </c>
      <c r="L239">
        <f t="shared" si="16"/>
        <v>0</v>
      </c>
      <c r="M239">
        <f t="shared" si="17"/>
        <v>2.6749649086341734</v>
      </c>
      <c r="N239">
        <f t="shared" si="18"/>
        <v>484.46453202102163</v>
      </c>
    </row>
    <row r="240" spans="7:14" x14ac:dyDescent="0.25">
      <c r="G240">
        <v>238</v>
      </c>
      <c r="H240">
        <v>0.93584216967770595</v>
      </c>
      <c r="I240">
        <v>0.86254277058226858</v>
      </c>
      <c r="J240">
        <f t="shared" si="19"/>
        <v>18.781001223876412</v>
      </c>
      <c r="K240">
        <f t="shared" si="15"/>
        <v>3.5771131302818122</v>
      </c>
      <c r="L240">
        <f t="shared" si="16"/>
        <v>4.5220184314936986</v>
      </c>
      <c r="M240">
        <f t="shared" si="17"/>
        <v>4.5687187284590447</v>
      </c>
      <c r="N240">
        <f t="shared" si="18"/>
        <v>42005.820727805061</v>
      </c>
    </row>
    <row r="241" spans="7:14" x14ac:dyDescent="0.25">
      <c r="G241">
        <v>239</v>
      </c>
      <c r="H241">
        <v>0.48669025938856159</v>
      </c>
      <c r="I241">
        <v>0.98743191151841458</v>
      </c>
      <c r="J241">
        <f t="shared" si="19"/>
        <v>10.24711492838267</v>
      </c>
      <c r="K241">
        <f t="shared" si="15"/>
        <v>2.8199132461984826</v>
      </c>
      <c r="L241">
        <f t="shared" si="16"/>
        <v>1.9324411888726143</v>
      </c>
      <c r="M241">
        <f t="shared" si="17"/>
        <v>2.8728290895698119</v>
      </c>
      <c r="N241">
        <f t="shared" si="18"/>
        <v>965.59334369935505</v>
      </c>
    </row>
    <row r="242" spans="7:14" x14ac:dyDescent="0.25">
      <c r="G242">
        <v>240</v>
      </c>
      <c r="H242">
        <v>0.12799891159134991</v>
      </c>
      <c r="I242">
        <v>0.55496786950710297</v>
      </c>
      <c r="J242">
        <f t="shared" si="19"/>
        <v>3.4319793202356483</v>
      </c>
      <c r="K242">
        <f t="shared" si="15"/>
        <v>1.2731229058657156</v>
      </c>
      <c r="L242">
        <f t="shared" si="16"/>
        <v>0</v>
      </c>
      <c r="M242">
        <f t="shared" si="17"/>
        <v>1.2731229058657156</v>
      </c>
      <c r="N242">
        <f t="shared" si="18"/>
        <v>19.056101204540433</v>
      </c>
    </row>
    <row r="243" spans="7:14" x14ac:dyDescent="0.25">
      <c r="G243">
        <v>241</v>
      </c>
      <c r="H243">
        <v>0.17314895648863871</v>
      </c>
      <c r="I243">
        <v>0.26617681214361821</v>
      </c>
      <c r="J243">
        <f t="shared" si="19"/>
        <v>4.2898301732841357</v>
      </c>
      <c r="K243">
        <f t="shared" si="15"/>
        <v>1.623025844004228</v>
      </c>
      <c r="L243">
        <f t="shared" si="16"/>
        <v>0</v>
      </c>
      <c r="M243">
        <f t="shared" si="17"/>
        <v>1.623025844004228</v>
      </c>
      <c r="N243">
        <f t="shared" si="18"/>
        <v>39.06654310931745</v>
      </c>
    </row>
    <row r="244" spans="7:14" x14ac:dyDescent="0.25">
      <c r="G244">
        <v>242</v>
      </c>
      <c r="H244">
        <v>0.33428031146815518</v>
      </c>
      <c r="I244">
        <v>0.97404779856338841</v>
      </c>
      <c r="J244">
        <f t="shared" si="19"/>
        <v>7.3513259178949486</v>
      </c>
      <c r="K244">
        <f t="shared" si="15"/>
        <v>2.3848682962920398</v>
      </c>
      <c r="L244">
        <f t="shared" si="16"/>
        <v>0</v>
      </c>
      <c r="M244">
        <f t="shared" si="17"/>
        <v>2.3848682962920398</v>
      </c>
      <c r="N244">
        <f t="shared" si="18"/>
        <v>303.43423944714209</v>
      </c>
    </row>
    <row r="245" spans="7:14" x14ac:dyDescent="0.25">
      <c r="G245">
        <v>243</v>
      </c>
      <c r="H245">
        <v>0.29258302860195906</v>
      </c>
      <c r="I245">
        <v>0.12837314957173374</v>
      </c>
      <c r="J245">
        <f t="shared" si="19"/>
        <v>6.5590775434372226</v>
      </c>
      <c r="K245">
        <f t="shared" si="15"/>
        <v>2.2305705174619241</v>
      </c>
      <c r="L245">
        <f t="shared" si="16"/>
        <v>0</v>
      </c>
      <c r="M245">
        <f t="shared" si="17"/>
        <v>2.2305705174619241</v>
      </c>
      <c r="N245">
        <f t="shared" si="18"/>
        <v>149.23296435825677</v>
      </c>
    </row>
    <row r="246" spans="7:14" x14ac:dyDescent="0.25">
      <c r="G246">
        <v>244</v>
      </c>
      <c r="H246">
        <v>0.76751359755551141</v>
      </c>
      <c r="I246">
        <v>0.58865157889077313</v>
      </c>
      <c r="J246">
        <f t="shared" si="19"/>
        <v>15.582758353554716</v>
      </c>
      <c r="K246">
        <f t="shared" si="15"/>
        <v>3.347469043457501</v>
      </c>
      <c r="L246">
        <f t="shared" si="16"/>
        <v>4.193537434783285</v>
      </c>
      <c r="M246">
        <f t="shared" si="17"/>
        <v>4.2514082063472527</v>
      </c>
      <c r="N246">
        <f t="shared" si="18"/>
        <v>18306.785437430233</v>
      </c>
    </row>
    <row r="247" spans="7:14" x14ac:dyDescent="0.25">
      <c r="G247">
        <v>245</v>
      </c>
      <c r="H247">
        <v>0.92579336593989658</v>
      </c>
      <c r="I247">
        <v>0.45664037358773324</v>
      </c>
      <c r="J247">
        <f t="shared" si="19"/>
        <v>18.590073952858035</v>
      </c>
      <c r="K247">
        <f t="shared" si="15"/>
        <v>3.564610339581181</v>
      </c>
      <c r="L247">
        <f t="shared" si="16"/>
        <v>4.5060747161274515</v>
      </c>
      <c r="M247">
        <f t="shared" si="17"/>
        <v>4.5531270718270793</v>
      </c>
      <c r="N247">
        <f t="shared" si="18"/>
        <v>35292.46600358007</v>
      </c>
    </row>
    <row r="248" spans="7:14" x14ac:dyDescent="0.25">
      <c r="G248">
        <v>246</v>
      </c>
      <c r="H248">
        <v>0.22317890626715642</v>
      </c>
      <c r="I248">
        <v>9.1163952163858086E-2</v>
      </c>
      <c r="J248">
        <f t="shared" si="19"/>
        <v>5.2403992190759716</v>
      </c>
      <c r="K248">
        <f t="shared" si="15"/>
        <v>1.9169812209630595</v>
      </c>
      <c r="L248">
        <f t="shared" si="16"/>
        <v>0</v>
      </c>
      <c r="M248">
        <f t="shared" si="17"/>
        <v>1.9169812209630595</v>
      </c>
      <c r="N248">
        <f t="shared" si="18"/>
        <v>70.843521588503549</v>
      </c>
    </row>
    <row r="249" spans="7:14" x14ac:dyDescent="0.25">
      <c r="G249">
        <v>247</v>
      </c>
      <c r="H249">
        <v>0.62276287746854719</v>
      </c>
      <c r="I249">
        <v>0.65625944808536818</v>
      </c>
      <c r="J249">
        <f t="shared" si="19"/>
        <v>12.832494671902397</v>
      </c>
      <c r="K249">
        <f t="shared" si="15"/>
        <v>3.1054334122247367</v>
      </c>
      <c r="L249">
        <f t="shared" si="16"/>
        <v>3.7014222882350465</v>
      </c>
      <c r="M249">
        <f t="shared" si="17"/>
        <v>3.7995533328693143</v>
      </c>
      <c r="N249">
        <f t="shared" si="18"/>
        <v>6601.8723083228524</v>
      </c>
    </row>
    <row r="250" spans="7:14" x14ac:dyDescent="0.25">
      <c r="G250">
        <v>248</v>
      </c>
      <c r="H250">
        <v>0.94475802134211939</v>
      </c>
      <c r="I250">
        <v>0.15401019522447956</v>
      </c>
      <c r="J250">
        <f t="shared" si="19"/>
        <v>18.95040240550027</v>
      </c>
      <c r="K250">
        <f t="shared" si="15"/>
        <v>3.5880944023499697</v>
      </c>
      <c r="L250">
        <f t="shared" si="16"/>
        <v>4.5358769661186198</v>
      </c>
      <c r="M250">
        <f t="shared" si="17"/>
        <v>4.5822847924368784</v>
      </c>
      <c r="N250">
        <f t="shared" si="18"/>
        <v>33987.213519848374</v>
      </c>
    </row>
    <row r="251" spans="7:14" x14ac:dyDescent="0.25">
      <c r="G251">
        <v>249</v>
      </c>
      <c r="H251">
        <v>0.4313081074043007</v>
      </c>
      <c r="I251">
        <v>0.56966963824377825</v>
      </c>
      <c r="J251">
        <f t="shared" si="19"/>
        <v>9.1948540406817134</v>
      </c>
      <c r="K251">
        <f t="shared" si="15"/>
        <v>2.6800064925858256</v>
      </c>
      <c r="L251">
        <f t="shared" si="16"/>
        <v>0</v>
      </c>
      <c r="M251">
        <f t="shared" si="17"/>
        <v>2.6800064925858256</v>
      </c>
      <c r="N251">
        <f t="shared" si="18"/>
        <v>488.40842872897127</v>
      </c>
    </row>
    <row r="252" spans="7:14" x14ac:dyDescent="0.25">
      <c r="G252">
        <v>250</v>
      </c>
      <c r="H252">
        <v>0.59949428657713832</v>
      </c>
      <c r="I252">
        <v>0.61630805904667718</v>
      </c>
      <c r="J252">
        <f t="shared" si="19"/>
        <v>12.390391444965628</v>
      </c>
      <c r="K252">
        <f t="shared" si="15"/>
        <v>3.0613329637592823</v>
      </c>
      <c r="L252">
        <f t="shared" si="16"/>
        <v>3.5783431616971271</v>
      </c>
      <c r="M252">
        <f t="shared" si="17"/>
        <v>3.6936478497457941</v>
      </c>
      <c r="N252">
        <f t="shared" si="18"/>
        <v>5110.198620849992</v>
      </c>
    </row>
    <row r="253" spans="7:14" x14ac:dyDescent="0.25">
      <c r="G253">
        <v>251</v>
      </c>
      <c r="H253">
        <v>0.93346935848340296</v>
      </c>
      <c r="I253">
        <v>0.33988045167886949</v>
      </c>
      <c r="J253">
        <f t="shared" si="19"/>
        <v>18.735917811184656</v>
      </c>
      <c r="K253">
        <f t="shared" si="15"/>
        <v>3.5741730122152435</v>
      </c>
      <c r="L253">
        <f t="shared" si="16"/>
        <v>4.5182851494801319</v>
      </c>
      <c r="M253">
        <f t="shared" si="17"/>
        <v>4.5650663771914388</v>
      </c>
      <c r="N253">
        <f t="shared" si="18"/>
        <v>35028.932797989648</v>
      </c>
    </row>
    <row r="254" spans="7:14" x14ac:dyDescent="0.25">
      <c r="G254">
        <v>252</v>
      </c>
      <c r="H254">
        <v>1.3728895060928781E-2</v>
      </c>
      <c r="I254">
        <v>0.95171407130324881</v>
      </c>
      <c r="J254">
        <f t="shared" si="19"/>
        <v>1.2608490061576467</v>
      </c>
      <c r="K254">
        <f t="shared" si="15"/>
        <v>-1.3123989376237002</v>
      </c>
      <c r="L254">
        <f t="shared" si="16"/>
        <v>0</v>
      </c>
      <c r="M254">
        <f t="shared" si="17"/>
        <v>-1.3123989376237002</v>
      </c>
      <c r="N254">
        <f t="shared" si="18"/>
        <v>5.8977496363334082E-2</v>
      </c>
    </row>
    <row r="255" spans="7:14" x14ac:dyDescent="0.25">
      <c r="G255">
        <v>253</v>
      </c>
      <c r="H255">
        <v>0.38338786928408575</v>
      </c>
      <c r="I255">
        <v>0.29196370479870959</v>
      </c>
      <c r="J255">
        <f t="shared" si="19"/>
        <v>8.2843695163976285</v>
      </c>
      <c r="K255">
        <f t="shared" si="15"/>
        <v>2.5436084807264083</v>
      </c>
      <c r="L255">
        <f t="shared" si="16"/>
        <v>0</v>
      </c>
      <c r="M255">
        <f t="shared" si="17"/>
        <v>2.5436084807264083</v>
      </c>
      <c r="N255">
        <f t="shared" si="18"/>
        <v>328.26579220942591</v>
      </c>
    </row>
    <row r="256" spans="7:14" x14ac:dyDescent="0.25">
      <c r="G256">
        <v>254</v>
      </c>
      <c r="H256">
        <v>0.59821853626892008</v>
      </c>
      <c r="I256">
        <v>0.90826726029320937</v>
      </c>
      <c r="J256">
        <f t="shared" si="19"/>
        <v>12.366152189109481</v>
      </c>
      <c r="K256">
        <f t="shared" si="15"/>
        <v>3.0588658101729407</v>
      </c>
      <c r="L256">
        <f t="shared" si="16"/>
        <v>3.5709511552780935</v>
      </c>
      <c r="M256">
        <f t="shared" si="17"/>
        <v>3.6874092071234079</v>
      </c>
      <c r="N256">
        <f t="shared" si="18"/>
        <v>5674.364363765093</v>
      </c>
    </row>
    <row r="257" spans="7:14" x14ac:dyDescent="0.25">
      <c r="G257">
        <v>255</v>
      </c>
      <c r="H257">
        <v>0.44439828974121831</v>
      </c>
      <c r="I257">
        <v>3.8504281730305623E-2</v>
      </c>
      <c r="J257">
        <f t="shared" si="19"/>
        <v>9.4435675050831485</v>
      </c>
      <c r="K257">
        <f t="shared" si="15"/>
        <v>2.7146325116124732</v>
      </c>
      <c r="L257">
        <f t="shared" si="16"/>
        <v>0</v>
      </c>
      <c r="M257">
        <f t="shared" si="17"/>
        <v>2.7146325116124732</v>
      </c>
      <c r="N257">
        <f t="shared" si="18"/>
        <v>422.8797150367617</v>
      </c>
    </row>
    <row r="258" spans="7:14" x14ac:dyDescent="0.25">
      <c r="G258">
        <v>256</v>
      </c>
      <c r="H258">
        <v>0.39789103489257027</v>
      </c>
      <c r="I258">
        <v>0.90440800550347911</v>
      </c>
      <c r="J258">
        <f t="shared" si="19"/>
        <v>8.5599296629588348</v>
      </c>
      <c r="K258">
        <f t="shared" si="15"/>
        <v>2.5866105783458164</v>
      </c>
      <c r="L258">
        <f t="shared" si="16"/>
        <v>0</v>
      </c>
      <c r="M258">
        <f t="shared" si="17"/>
        <v>2.5866105783458164</v>
      </c>
      <c r="N258">
        <f t="shared" si="18"/>
        <v>448.70902753425537</v>
      </c>
    </row>
    <row r="259" spans="7:14" x14ac:dyDescent="0.25">
      <c r="G259">
        <v>257</v>
      </c>
      <c r="H259">
        <v>0.83192074899803348</v>
      </c>
      <c r="I259">
        <v>0.1379239435431705</v>
      </c>
      <c r="J259">
        <f t="shared" si="19"/>
        <v>16.806494230962635</v>
      </c>
      <c r="K259">
        <f t="shared" ref="K259:K302" si="20">$E$7+$D$8*LOG10(J259-$D$6)</f>
        <v>3.4407913844295073</v>
      </c>
      <c r="L259">
        <f t="shared" ref="L259:L302" si="21">IF(J259&gt;=$D$14,$E$15+$D$16*LOG10(J259-$D$14), 0)</f>
        <v>4.3372821014223701</v>
      </c>
      <c r="M259">
        <f t="shared" ref="M259:M302" si="22">IF(J259&lt;$D$14,K259,LOG10(10^K259+10^L259))</f>
        <v>4.3891728476600962</v>
      </c>
      <c r="N259">
        <f t="shared" ref="N259:N302" si="23">10^(M259+_xlfn.NORM.INV(I259, 0, $D$18))</f>
        <v>21611.660641582675</v>
      </c>
    </row>
    <row r="260" spans="7:14" x14ac:dyDescent="0.25">
      <c r="G260">
        <v>258</v>
      </c>
      <c r="H260">
        <v>0.71368202970518391</v>
      </c>
      <c r="I260">
        <v>0.55305280632004106</v>
      </c>
      <c r="J260">
        <f t="shared" ref="J260:J302" si="24">$D$6 + H260*(20-$D$6)</f>
        <v>14.559958564398494</v>
      </c>
      <c r="K260">
        <f t="shared" si="20"/>
        <v>3.2632521985325815</v>
      </c>
      <c r="L260">
        <f t="shared" si="21"/>
        <v>4.0467645854135084</v>
      </c>
      <c r="M260">
        <f t="shared" si="22"/>
        <v>4.1129495383677845</v>
      </c>
      <c r="N260">
        <f t="shared" si="23"/>
        <v>13170.99066398357</v>
      </c>
    </row>
    <row r="261" spans="7:14" x14ac:dyDescent="0.25">
      <c r="G261">
        <v>259</v>
      </c>
      <c r="H261">
        <v>9.917589472286803E-2</v>
      </c>
      <c r="I261">
        <v>0.33639032904087496</v>
      </c>
      <c r="J261">
        <f t="shared" si="24"/>
        <v>2.8843419997344926</v>
      </c>
      <c r="K261">
        <f t="shared" si="20"/>
        <v>0.9776558403776322</v>
      </c>
      <c r="L261">
        <f t="shared" si="21"/>
        <v>0</v>
      </c>
      <c r="M261">
        <f t="shared" si="22"/>
        <v>0.9776558403776322</v>
      </c>
      <c r="N261">
        <f t="shared" si="23"/>
        <v>9.0477189207522439</v>
      </c>
    </row>
    <row r="262" spans="7:14" x14ac:dyDescent="0.25">
      <c r="G262">
        <v>260</v>
      </c>
      <c r="H262">
        <v>0.55378798666032658</v>
      </c>
      <c r="I262">
        <v>0.29817885089438823</v>
      </c>
      <c r="J262">
        <f t="shared" si="24"/>
        <v>11.521971746546205</v>
      </c>
      <c r="K262">
        <f t="shared" si="20"/>
        <v>2.9694889154810653</v>
      </c>
      <c r="L262">
        <f t="shared" si="21"/>
        <v>3.2509188945106855</v>
      </c>
      <c r="M262">
        <f t="shared" si="22"/>
        <v>3.4336422643838111</v>
      </c>
      <c r="N262">
        <f t="shared" si="23"/>
        <v>2553.6418466645378</v>
      </c>
    </row>
    <row r="263" spans="7:14" x14ac:dyDescent="0.25">
      <c r="G263">
        <v>261</v>
      </c>
      <c r="H263">
        <v>0.34495604968925564</v>
      </c>
      <c r="I263">
        <v>0.78041860939035024</v>
      </c>
      <c r="J263">
        <f t="shared" si="24"/>
        <v>7.5541649440958576</v>
      </c>
      <c r="K263">
        <f t="shared" si="20"/>
        <v>2.4212762100649043</v>
      </c>
      <c r="L263">
        <f t="shared" si="21"/>
        <v>0</v>
      </c>
      <c r="M263">
        <f t="shared" si="22"/>
        <v>2.4212762100649043</v>
      </c>
      <c r="N263">
        <f t="shared" si="23"/>
        <v>288.37432973730154</v>
      </c>
    </row>
    <row r="264" spans="7:14" x14ac:dyDescent="0.25">
      <c r="G264">
        <v>262</v>
      </c>
      <c r="H264">
        <v>0.4811221367331272</v>
      </c>
      <c r="I264">
        <v>0.99198542138136359</v>
      </c>
      <c r="J264">
        <f t="shared" si="24"/>
        <v>10.141320597929417</v>
      </c>
      <c r="K264">
        <f t="shared" si="20"/>
        <v>2.806587073286781</v>
      </c>
      <c r="L264">
        <f t="shared" si="21"/>
        <v>1.5271430172360512</v>
      </c>
      <c r="M264">
        <f t="shared" si="22"/>
        <v>2.8288289713011578</v>
      </c>
      <c r="N264">
        <f t="shared" si="23"/>
        <v>889.69575903264786</v>
      </c>
    </row>
    <row r="265" spans="7:14" x14ac:dyDescent="0.25">
      <c r="G265">
        <v>263</v>
      </c>
      <c r="H265">
        <v>0.15140202851820961</v>
      </c>
      <c r="I265">
        <v>0.58532778115606343</v>
      </c>
      <c r="J265">
        <f t="shared" si="24"/>
        <v>3.8766385418459826</v>
      </c>
      <c r="K265">
        <f t="shared" si="20"/>
        <v>1.4675906851590399</v>
      </c>
      <c r="L265">
        <f t="shared" si="21"/>
        <v>0</v>
      </c>
      <c r="M265">
        <f t="shared" si="22"/>
        <v>1.4675906851590399</v>
      </c>
      <c r="N265">
        <f t="shared" si="23"/>
        <v>30.086232442477563</v>
      </c>
    </row>
    <row r="266" spans="7:14" x14ac:dyDescent="0.25">
      <c r="G266">
        <v>264</v>
      </c>
      <c r="H266">
        <v>0.74986371988096368</v>
      </c>
      <c r="I266">
        <v>0.48330445221706908</v>
      </c>
      <c r="J266">
        <f t="shared" si="24"/>
        <v>15.24741067773831</v>
      </c>
      <c r="K266">
        <f t="shared" si="20"/>
        <v>3.3205257464178781</v>
      </c>
      <c r="L266">
        <f t="shared" si="21"/>
        <v>4.1486081298886157</v>
      </c>
      <c r="M266">
        <f t="shared" si="22"/>
        <v>4.208763851341776</v>
      </c>
      <c r="N266">
        <f t="shared" si="23"/>
        <v>16094.250756603498</v>
      </c>
    </row>
    <row r="267" spans="7:14" x14ac:dyDescent="0.25">
      <c r="G267">
        <v>265</v>
      </c>
      <c r="H267">
        <v>0.56835346530191766</v>
      </c>
      <c r="I267">
        <v>0.90126287099727587</v>
      </c>
      <c r="J267">
        <f t="shared" si="24"/>
        <v>11.798715840736435</v>
      </c>
      <c r="K267">
        <f t="shared" si="20"/>
        <v>2.9995555339417126</v>
      </c>
      <c r="L267">
        <f t="shared" si="21"/>
        <v>3.3720873627126262</v>
      </c>
      <c r="M267">
        <f t="shared" si="22"/>
        <v>3.5256278190039572</v>
      </c>
      <c r="N267">
        <f t="shared" si="23"/>
        <v>3891.0504830614373</v>
      </c>
    </row>
    <row r="268" spans="7:14" x14ac:dyDescent="0.25">
      <c r="G268">
        <v>266</v>
      </c>
      <c r="H268">
        <v>0.9413539811967655</v>
      </c>
      <c r="I268">
        <v>0.80892308308000271</v>
      </c>
      <c r="J268">
        <f t="shared" si="24"/>
        <v>18.885725642738546</v>
      </c>
      <c r="K268">
        <f t="shared" si="20"/>
        <v>3.5839140710173529</v>
      </c>
      <c r="L268">
        <f t="shared" si="21"/>
        <v>4.5306170311555292</v>
      </c>
      <c r="M268">
        <f t="shared" si="22"/>
        <v>4.5771343940319404</v>
      </c>
      <c r="N268">
        <f t="shared" si="23"/>
        <v>41766.792760802964</v>
      </c>
    </row>
    <row r="269" spans="7:14" x14ac:dyDescent="0.25">
      <c r="G269">
        <v>267</v>
      </c>
      <c r="H269">
        <v>0.74438395302720273</v>
      </c>
      <c r="I269">
        <v>1.6120540502591041E-2</v>
      </c>
      <c r="J269">
        <f t="shared" si="24"/>
        <v>15.143295107516852</v>
      </c>
      <c r="K269">
        <f t="shared" si="20"/>
        <v>3.3120315073669437</v>
      </c>
      <c r="L269">
        <f t="shared" si="21"/>
        <v>4.1340730993849313</v>
      </c>
      <c r="M269">
        <f t="shared" si="22"/>
        <v>4.1950149366239939</v>
      </c>
      <c r="N269">
        <f t="shared" si="23"/>
        <v>12244.596932102397</v>
      </c>
    </row>
    <row r="270" spans="7:14" x14ac:dyDescent="0.25">
      <c r="G270">
        <v>268</v>
      </c>
      <c r="H270">
        <v>0.39745847733673489</v>
      </c>
      <c r="I270">
        <v>0.25682204731259872</v>
      </c>
      <c r="J270">
        <f t="shared" si="24"/>
        <v>8.5517110693979639</v>
      </c>
      <c r="K270">
        <f t="shared" si="20"/>
        <v>2.5853508730197063</v>
      </c>
      <c r="L270">
        <f t="shared" si="21"/>
        <v>0</v>
      </c>
      <c r="M270">
        <f t="shared" si="22"/>
        <v>2.5853508730197063</v>
      </c>
      <c r="N270">
        <f t="shared" si="23"/>
        <v>357.01969269083236</v>
      </c>
    </row>
    <row r="271" spans="7:14" x14ac:dyDescent="0.25">
      <c r="G271">
        <v>269</v>
      </c>
      <c r="H271">
        <v>0.23544548006365029</v>
      </c>
      <c r="I271">
        <v>0.24393039601590016</v>
      </c>
      <c r="J271">
        <f t="shared" si="24"/>
        <v>5.4734641212093553</v>
      </c>
      <c r="K271">
        <f t="shared" si="20"/>
        <v>1.9789471213324226</v>
      </c>
      <c r="L271">
        <f t="shared" si="21"/>
        <v>0</v>
      </c>
      <c r="M271">
        <f t="shared" si="22"/>
        <v>1.9789471213324226</v>
      </c>
      <c r="N271">
        <f t="shared" si="23"/>
        <v>87.955167127170625</v>
      </c>
    </row>
    <row r="272" spans="7:14" x14ac:dyDescent="0.25">
      <c r="G272">
        <v>270</v>
      </c>
      <c r="H272">
        <v>0.82908324891299856</v>
      </c>
      <c r="I272">
        <v>0.3679993954657852</v>
      </c>
      <c r="J272">
        <f t="shared" si="24"/>
        <v>16.752581729346971</v>
      </c>
      <c r="K272">
        <f t="shared" si="20"/>
        <v>3.4368345428095886</v>
      </c>
      <c r="L272">
        <f t="shared" si="21"/>
        <v>4.331514536959677</v>
      </c>
      <c r="M272">
        <f t="shared" si="22"/>
        <v>4.3836095858652353</v>
      </c>
      <c r="N272">
        <f t="shared" si="23"/>
        <v>23267.60871718534</v>
      </c>
    </row>
    <row r="273" spans="7:14" x14ac:dyDescent="0.25">
      <c r="G273">
        <v>271</v>
      </c>
      <c r="H273">
        <v>0.3933003521157572</v>
      </c>
      <c r="I273">
        <v>0.91654254138445268</v>
      </c>
      <c r="J273">
        <f t="shared" si="24"/>
        <v>8.4727066901993879</v>
      </c>
      <c r="K273">
        <f t="shared" si="20"/>
        <v>2.5731710618244885</v>
      </c>
      <c r="L273">
        <f t="shared" si="21"/>
        <v>0</v>
      </c>
      <c r="M273">
        <f t="shared" si="22"/>
        <v>2.5731710618244885</v>
      </c>
      <c r="N273">
        <f t="shared" si="23"/>
        <v>438.81383311775693</v>
      </c>
    </row>
    <row r="274" spans="7:14" x14ac:dyDescent="0.25">
      <c r="G274">
        <v>272</v>
      </c>
      <c r="H274">
        <v>0.25260849068124347</v>
      </c>
      <c r="I274">
        <v>0.15154759761440451</v>
      </c>
      <c r="J274">
        <f t="shared" si="24"/>
        <v>5.7995613229436263</v>
      </c>
      <c r="K274">
        <f t="shared" si="20"/>
        <v>2.0604340184956347</v>
      </c>
      <c r="L274">
        <f t="shared" si="21"/>
        <v>0</v>
      </c>
      <c r="M274">
        <f t="shared" si="22"/>
        <v>2.0604340184956347</v>
      </c>
      <c r="N274">
        <f t="shared" si="23"/>
        <v>102.08057118011803</v>
      </c>
    </row>
    <row r="275" spans="7:14" x14ac:dyDescent="0.25">
      <c r="G275">
        <v>273</v>
      </c>
      <c r="H275">
        <v>0.35738836059217305</v>
      </c>
      <c r="I275">
        <v>0.46865527504024274</v>
      </c>
      <c r="J275">
        <f t="shared" si="24"/>
        <v>7.7903788512512877</v>
      </c>
      <c r="K275">
        <f t="shared" si="20"/>
        <v>2.4622805793977478</v>
      </c>
      <c r="L275">
        <f t="shared" si="21"/>
        <v>0</v>
      </c>
      <c r="M275">
        <f t="shared" si="22"/>
        <v>2.4622805793977478</v>
      </c>
      <c r="N275">
        <f t="shared" si="23"/>
        <v>287.3082190599763</v>
      </c>
    </row>
    <row r="276" spans="7:14" x14ac:dyDescent="0.25">
      <c r="G276">
        <v>274</v>
      </c>
      <c r="H276">
        <v>0.6678807502010925</v>
      </c>
      <c r="I276">
        <v>7.8215482915588108E-2</v>
      </c>
      <c r="J276">
        <f t="shared" si="24"/>
        <v>13.689734253820758</v>
      </c>
      <c r="K276">
        <f t="shared" si="20"/>
        <v>3.1864366380684421</v>
      </c>
      <c r="L276">
        <f t="shared" si="21"/>
        <v>3.8931816855892798</v>
      </c>
      <c r="M276">
        <f t="shared" si="22"/>
        <v>3.9710767189611333</v>
      </c>
      <c r="N276">
        <f t="shared" si="23"/>
        <v>7947.2675039108808</v>
      </c>
    </row>
    <row r="277" spans="7:14" x14ac:dyDescent="0.25">
      <c r="G277">
        <v>275</v>
      </c>
      <c r="H277">
        <v>0.14322879405077293</v>
      </c>
      <c r="I277">
        <v>0.73732897853695611</v>
      </c>
      <c r="J277">
        <f t="shared" si="24"/>
        <v>3.7213470869646859</v>
      </c>
      <c r="K277">
        <f t="shared" si="20"/>
        <v>1.4033203953317928</v>
      </c>
      <c r="L277">
        <f t="shared" si="21"/>
        <v>0</v>
      </c>
      <c r="M277">
        <f t="shared" si="22"/>
        <v>1.4033203953317928</v>
      </c>
      <c r="N277">
        <f t="shared" si="23"/>
        <v>27.231841911057732</v>
      </c>
    </row>
    <row r="278" spans="7:14" x14ac:dyDescent="0.25">
      <c r="G278">
        <v>276</v>
      </c>
      <c r="H278">
        <v>0.72160696007693859</v>
      </c>
      <c r="I278">
        <v>7.594464561832226E-2</v>
      </c>
      <c r="J278">
        <f t="shared" si="24"/>
        <v>14.710532241461832</v>
      </c>
      <c r="K278">
        <f t="shared" si="20"/>
        <v>3.2760414037025836</v>
      </c>
      <c r="L278">
        <f t="shared" si="21"/>
        <v>4.0703267563122001</v>
      </c>
      <c r="M278">
        <f t="shared" si="22"/>
        <v>4.1350050477238511</v>
      </c>
      <c r="N278">
        <f t="shared" si="23"/>
        <v>11570.724429584245</v>
      </c>
    </row>
    <row r="279" spans="7:14" x14ac:dyDescent="0.25">
      <c r="G279">
        <v>277</v>
      </c>
      <c r="H279">
        <v>0.78944059595247629</v>
      </c>
      <c r="I279">
        <v>0.67780029211099435</v>
      </c>
      <c r="J279">
        <f t="shared" si="24"/>
        <v>15.99937132309705</v>
      </c>
      <c r="K279">
        <f t="shared" si="20"/>
        <v>3.3800913829808947</v>
      </c>
      <c r="L279">
        <f t="shared" si="21"/>
        <v>4.2457364791165348</v>
      </c>
      <c r="M279">
        <f t="shared" si="22"/>
        <v>4.301212580918806</v>
      </c>
      <c r="N279">
        <f t="shared" si="23"/>
        <v>21100.386211632627</v>
      </c>
    </row>
    <row r="280" spans="7:14" x14ac:dyDescent="0.25">
      <c r="G280">
        <v>278</v>
      </c>
      <c r="H280">
        <v>0.78171355795293163</v>
      </c>
      <c r="I280">
        <v>0.43923141782813724</v>
      </c>
      <c r="J280">
        <f t="shared" si="24"/>
        <v>15.852557601105701</v>
      </c>
      <c r="K280">
        <f t="shared" si="20"/>
        <v>3.3686998862258135</v>
      </c>
      <c r="L280">
        <f t="shared" si="21"/>
        <v>4.2277672021053263</v>
      </c>
      <c r="M280">
        <f t="shared" si="22"/>
        <v>4.2840373653585511</v>
      </c>
      <c r="N280">
        <f t="shared" si="23"/>
        <v>18896.938892598479</v>
      </c>
    </row>
    <row r="281" spans="7:14" x14ac:dyDescent="0.25">
      <c r="G281">
        <v>279</v>
      </c>
      <c r="H281">
        <v>0.95737881857512608</v>
      </c>
      <c r="I281">
        <v>0.31497933767795205</v>
      </c>
      <c r="J281">
        <f t="shared" si="24"/>
        <v>19.190197552927394</v>
      </c>
      <c r="K281">
        <f t="shared" si="20"/>
        <v>3.6034630072204736</v>
      </c>
      <c r="L281">
        <f t="shared" si="21"/>
        <v>4.5550523832201026</v>
      </c>
      <c r="M281">
        <f t="shared" si="22"/>
        <v>4.6010759176814613</v>
      </c>
      <c r="N281">
        <f t="shared" si="23"/>
        <v>37756.059942922009</v>
      </c>
    </row>
    <row r="282" spans="7:14" x14ac:dyDescent="0.25">
      <c r="G282">
        <v>280</v>
      </c>
      <c r="H282">
        <v>0.14676274112333809</v>
      </c>
      <c r="I282">
        <v>4.7275768637457749E-2</v>
      </c>
      <c r="J282">
        <f t="shared" si="24"/>
        <v>3.7884920813434237</v>
      </c>
      <c r="K282">
        <f t="shared" si="20"/>
        <v>1.4315483401072058</v>
      </c>
      <c r="L282">
        <f t="shared" si="21"/>
        <v>0</v>
      </c>
      <c r="M282">
        <f t="shared" si="22"/>
        <v>1.4315483401072058</v>
      </c>
      <c r="N282">
        <f t="shared" si="23"/>
        <v>22.282054905103376</v>
      </c>
    </row>
    <row r="283" spans="7:14" x14ac:dyDescent="0.25">
      <c r="G283">
        <v>281</v>
      </c>
      <c r="H283">
        <v>0.99441854298392685</v>
      </c>
      <c r="I283">
        <v>0.98503191043371918</v>
      </c>
      <c r="J283">
        <f t="shared" si="24"/>
        <v>19.893952316694609</v>
      </c>
      <c r="K283">
        <f t="shared" si="20"/>
        <v>3.6474240719524946</v>
      </c>
      <c r="L283">
        <f t="shared" si="21"/>
        <v>4.6085674762325644</v>
      </c>
      <c r="M283">
        <f t="shared" si="22"/>
        <v>4.6536397909012104</v>
      </c>
      <c r="N283">
        <f t="shared" si="23"/>
        <v>57834.432632185533</v>
      </c>
    </row>
    <row r="284" spans="7:14" x14ac:dyDescent="0.25">
      <c r="G284">
        <v>282</v>
      </c>
      <c r="H284">
        <v>0.28678667598135654</v>
      </c>
      <c r="I284">
        <v>8.3281491721458156E-2</v>
      </c>
      <c r="J284">
        <f t="shared" si="24"/>
        <v>6.448946843645774</v>
      </c>
      <c r="K284">
        <f t="shared" si="20"/>
        <v>2.2073967552978737</v>
      </c>
      <c r="L284">
        <f t="shared" si="21"/>
        <v>0</v>
      </c>
      <c r="M284">
        <f t="shared" si="22"/>
        <v>2.2073967552978737</v>
      </c>
      <c r="N284">
        <f t="shared" si="23"/>
        <v>137.47702892802695</v>
      </c>
    </row>
    <row r="285" spans="7:14" x14ac:dyDescent="0.25">
      <c r="G285">
        <v>283</v>
      </c>
      <c r="H285">
        <v>0.93963035298880693</v>
      </c>
      <c r="I285">
        <v>0.24321225671453528</v>
      </c>
      <c r="J285">
        <f t="shared" si="24"/>
        <v>18.852976706787331</v>
      </c>
      <c r="K285">
        <f t="shared" si="20"/>
        <v>3.5817916009453912</v>
      </c>
      <c r="L285">
        <f t="shared" si="21"/>
        <v>4.5279390555354091</v>
      </c>
      <c r="M285">
        <f t="shared" si="22"/>
        <v>4.5745128753902984</v>
      </c>
      <c r="N285">
        <f t="shared" si="23"/>
        <v>34650.74135242599</v>
      </c>
    </row>
    <row r="286" spans="7:14" x14ac:dyDescent="0.25">
      <c r="G286">
        <v>284</v>
      </c>
      <c r="H286">
        <v>0.92513750070357692</v>
      </c>
      <c r="I286">
        <v>0.23371583172299781</v>
      </c>
      <c r="J286">
        <f t="shared" si="24"/>
        <v>18.57761251336796</v>
      </c>
      <c r="K286">
        <f t="shared" si="20"/>
        <v>3.5637895960441557</v>
      </c>
      <c r="L286">
        <f t="shared" si="21"/>
        <v>4.505021815718889</v>
      </c>
      <c r="M286">
        <f t="shared" si="22"/>
        <v>4.5520980148617634</v>
      </c>
      <c r="N286">
        <f t="shared" si="23"/>
        <v>32791.765738024777</v>
      </c>
    </row>
    <row r="287" spans="7:14" x14ac:dyDescent="0.25">
      <c r="G287">
        <v>285</v>
      </c>
      <c r="H287">
        <v>0.93294556814122198</v>
      </c>
      <c r="I287">
        <v>0.94179659916674141</v>
      </c>
      <c r="J287">
        <f t="shared" si="24"/>
        <v>18.725965794683219</v>
      </c>
      <c r="K287">
        <f t="shared" si="20"/>
        <v>3.57352298380549</v>
      </c>
      <c r="L287">
        <f t="shared" si="21"/>
        <v>4.5174584439866621</v>
      </c>
      <c r="M287">
        <f t="shared" si="22"/>
        <v>4.5642577170839527</v>
      </c>
      <c r="N287">
        <f t="shared" si="23"/>
        <v>43929.828017463762</v>
      </c>
    </row>
    <row r="288" spans="7:14" x14ac:dyDescent="0.25">
      <c r="G288">
        <v>286</v>
      </c>
      <c r="H288">
        <v>0.7136527677651695</v>
      </c>
      <c r="I288">
        <v>0.64486381807013138</v>
      </c>
      <c r="J288">
        <f t="shared" si="24"/>
        <v>14.559402587538221</v>
      </c>
      <c r="K288">
        <f t="shared" si="20"/>
        <v>3.2632047131106523</v>
      </c>
      <c r="L288">
        <f t="shared" si="21"/>
        <v>4.0466761506375351</v>
      </c>
      <c r="M288">
        <f t="shared" si="22"/>
        <v>4.1128668921085847</v>
      </c>
      <c r="N288">
        <f t="shared" si="23"/>
        <v>13534.474810742531</v>
      </c>
    </row>
    <row r="289" spans="7:14" x14ac:dyDescent="0.25">
      <c r="G289">
        <v>287</v>
      </c>
      <c r="H289">
        <v>0.83498980300469905</v>
      </c>
      <c r="I289">
        <v>0.62592080935306704</v>
      </c>
      <c r="J289">
        <f t="shared" si="24"/>
        <v>16.864806257089281</v>
      </c>
      <c r="K289">
        <f t="shared" si="20"/>
        <v>3.4450559595118473</v>
      </c>
      <c r="L289">
        <f t="shared" si="21"/>
        <v>4.3434691241962931</v>
      </c>
      <c r="M289">
        <f t="shared" si="22"/>
        <v>4.3951437876153987</v>
      </c>
      <c r="N289">
        <f t="shared" si="23"/>
        <v>25774.913661050654</v>
      </c>
    </row>
    <row r="290" spans="7:14" x14ac:dyDescent="0.25">
      <c r="G290">
        <v>288</v>
      </c>
      <c r="H290">
        <v>0.7865374422057142</v>
      </c>
      <c r="I290">
        <v>0.15425640944248298</v>
      </c>
      <c r="J290">
        <f t="shared" si="24"/>
        <v>15.94421140190857</v>
      </c>
      <c r="K290">
        <f t="shared" si="20"/>
        <v>3.3758245719873878</v>
      </c>
      <c r="L290">
        <f t="shared" si="21"/>
        <v>4.2390372800826839</v>
      </c>
      <c r="M290">
        <f t="shared" si="22"/>
        <v>4.2948057851469876</v>
      </c>
      <c r="N290">
        <f t="shared" si="23"/>
        <v>17534.298986998838</v>
      </c>
    </row>
    <row r="291" spans="7:14" x14ac:dyDescent="0.25">
      <c r="G291">
        <v>289</v>
      </c>
      <c r="H291">
        <v>0.23125769018052178</v>
      </c>
      <c r="I291">
        <v>0.12482187563630431</v>
      </c>
      <c r="J291">
        <f t="shared" si="24"/>
        <v>5.3938961134299142</v>
      </c>
      <c r="K291">
        <f t="shared" si="20"/>
        <v>1.9581626573846109</v>
      </c>
      <c r="L291">
        <f t="shared" si="21"/>
        <v>0</v>
      </c>
      <c r="M291">
        <f t="shared" si="22"/>
        <v>1.9581626573846109</v>
      </c>
      <c r="N291">
        <f t="shared" si="23"/>
        <v>79.54298817040295</v>
      </c>
    </row>
    <row r="292" spans="7:14" x14ac:dyDescent="0.25">
      <c r="G292">
        <v>290</v>
      </c>
      <c r="H292">
        <v>0.54601461515991367</v>
      </c>
      <c r="I292">
        <v>0.24391813443378563</v>
      </c>
      <c r="J292">
        <f t="shared" si="24"/>
        <v>11.37427768803836</v>
      </c>
      <c r="K292">
        <f t="shared" si="20"/>
        <v>2.9531175481792991</v>
      </c>
      <c r="L292">
        <f t="shared" si="21"/>
        <v>3.1768842962193915</v>
      </c>
      <c r="M292">
        <f t="shared" si="22"/>
        <v>3.38028602174432</v>
      </c>
      <c r="N292">
        <f t="shared" si="23"/>
        <v>2216.1456701098946</v>
      </c>
    </row>
    <row r="293" spans="7:14" x14ac:dyDescent="0.25">
      <c r="G293">
        <v>291</v>
      </c>
      <c r="H293">
        <v>0.65851528775245149</v>
      </c>
      <c r="I293">
        <v>0.471629176823258</v>
      </c>
      <c r="J293">
        <f t="shared" si="24"/>
        <v>13.511790467296578</v>
      </c>
      <c r="K293">
        <f t="shared" si="20"/>
        <v>3.170081799278397</v>
      </c>
      <c r="L293">
        <f t="shared" si="21"/>
        <v>3.8573326432351323</v>
      </c>
      <c r="M293">
        <f t="shared" si="22"/>
        <v>3.9384891752867226</v>
      </c>
      <c r="N293">
        <f t="shared" si="23"/>
        <v>8608.5581507925635</v>
      </c>
    </row>
    <row r="294" spans="7:14" x14ac:dyDescent="0.25">
      <c r="G294">
        <v>292</v>
      </c>
      <c r="H294">
        <v>0.55284017761326187</v>
      </c>
      <c r="I294">
        <v>0.46166782698769471</v>
      </c>
      <c r="J294">
        <f t="shared" si="24"/>
        <v>11.503963374651976</v>
      </c>
      <c r="K294">
        <f t="shared" si="20"/>
        <v>2.9675050954266977</v>
      </c>
      <c r="L294">
        <f t="shared" si="21"/>
        <v>3.2422861131029128</v>
      </c>
      <c r="M294">
        <f t="shared" si="22"/>
        <v>3.4273044749999522</v>
      </c>
      <c r="N294">
        <f t="shared" si="23"/>
        <v>2645.4090399594807</v>
      </c>
    </row>
    <row r="295" spans="7:14" x14ac:dyDescent="0.25">
      <c r="G295">
        <v>293</v>
      </c>
      <c r="H295">
        <v>0.28436731004128535</v>
      </c>
      <c r="I295">
        <v>0.2547464410405279</v>
      </c>
      <c r="J295">
        <f t="shared" si="24"/>
        <v>6.4029788907844214</v>
      </c>
      <c r="K295">
        <f t="shared" si="20"/>
        <v>2.1975852874030735</v>
      </c>
      <c r="L295">
        <f t="shared" si="21"/>
        <v>0</v>
      </c>
      <c r="M295">
        <f t="shared" si="22"/>
        <v>2.1975852874030735</v>
      </c>
      <c r="N295">
        <f t="shared" si="23"/>
        <v>146.08442343807693</v>
      </c>
    </row>
    <row r="296" spans="7:14" x14ac:dyDescent="0.25">
      <c r="G296">
        <v>294</v>
      </c>
      <c r="H296">
        <v>0.36594521835141158</v>
      </c>
      <c r="I296">
        <v>0.24522985371941619</v>
      </c>
      <c r="J296">
        <f t="shared" si="24"/>
        <v>7.9529591486768201</v>
      </c>
      <c r="K296">
        <f t="shared" si="20"/>
        <v>2.4896823726650239</v>
      </c>
      <c r="L296">
        <f t="shared" si="21"/>
        <v>0</v>
      </c>
      <c r="M296">
        <f t="shared" si="22"/>
        <v>2.4896823726650239</v>
      </c>
      <c r="N296">
        <f t="shared" si="23"/>
        <v>285.23543727363398</v>
      </c>
    </row>
    <row r="297" spans="7:14" x14ac:dyDescent="0.25">
      <c r="G297">
        <v>295</v>
      </c>
      <c r="H297">
        <v>0.4135050562169571</v>
      </c>
      <c r="I297">
        <v>0.85449224415157299</v>
      </c>
      <c r="J297">
        <f t="shared" si="24"/>
        <v>8.8565960681221849</v>
      </c>
      <c r="K297">
        <f t="shared" si="20"/>
        <v>2.6311883661386695</v>
      </c>
      <c r="L297">
        <f t="shared" si="21"/>
        <v>0</v>
      </c>
      <c r="M297">
        <f t="shared" si="22"/>
        <v>2.6311883661386695</v>
      </c>
      <c r="N297">
        <f t="shared" si="23"/>
        <v>483.04010515841816</v>
      </c>
    </row>
    <row r="298" spans="7:14" x14ac:dyDescent="0.25">
      <c r="G298">
        <v>296</v>
      </c>
      <c r="H298">
        <v>0.56421861341869062</v>
      </c>
      <c r="I298">
        <v>0.17425533337517496</v>
      </c>
      <c r="J298">
        <f t="shared" si="24"/>
        <v>11.720153654955121</v>
      </c>
      <c r="K298">
        <f t="shared" si="20"/>
        <v>2.9910992593858081</v>
      </c>
      <c r="L298">
        <f t="shared" si="21"/>
        <v>3.3396971836323432</v>
      </c>
      <c r="M298">
        <f t="shared" si="22"/>
        <v>3.5005041330273019</v>
      </c>
      <c r="N298">
        <f t="shared" si="23"/>
        <v>2842.03899102174</v>
      </c>
    </row>
    <row r="299" spans="7:14" x14ac:dyDescent="0.25">
      <c r="G299">
        <v>297</v>
      </c>
      <c r="H299">
        <v>0.68354192728824814</v>
      </c>
      <c r="I299">
        <v>0.35917644942000571</v>
      </c>
      <c r="J299">
        <f t="shared" si="24"/>
        <v>13.987296618476714</v>
      </c>
      <c r="K299">
        <f t="shared" si="20"/>
        <v>3.213279924148901</v>
      </c>
      <c r="L299">
        <f t="shared" si="21"/>
        <v>3.949433057725078</v>
      </c>
      <c r="M299">
        <f t="shared" si="22"/>
        <v>4.0226340105992175</v>
      </c>
      <c r="N299">
        <f t="shared" si="23"/>
        <v>10106.504220283041</v>
      </c>
    </row>
    <row r="300" spans="7:14" x14ac:dyDescent="0.25">
      <c r="G300">
        <v>298</v>
      </c>
      <c r="H300">
        <v>0.85084980667222443</v>
      </c>
      <c r="I300">
        <v>1.2868687660080869E-2</v>
      </c>
      <c r="J300">
        <f t="shared" si="24"/>
        <v>17.166146326772264</v>
      </c>
      <c r="K300">
        <f t="shared" si="20"/>
        <v>3.466847246590679</v>
      </c>
      <c r="L300">
        <f t="shared" si="21"/>
        <v>4.3746269605572108</v>
      </c>
      <c r="M300">
        <f t="shared" si="22"/>
        <v>4.425260896077444</v>
      </c>
      <c r="N300">
        <f t="shared" si="23"/>
        <v>20594.597683693064</v>
      </c>
    </row>
    <row r="301" spans="7:14" x14ac:dyDescent="0.25">
      <c r="G301">
        <v>299</v>
      </c>
      <c r="H301">
        <v>0.82328891946861749</v>
      </c>
      <c r="I301">
        <v>0.68467769381834198</v>
      </c>
      <c r="J301">
        <f t="shared" si="24"/>
        <v>16.642489469903733</v>
      </c>
      <c r="K301">
        <f t="shared" si="20"/>
        <v>3.428712222129993</v>
      </c>
      <c r="L301">
        <f t="shared" si="21"/>
        <v>4.3195924491621271</v>
      </c>
      <c r="M301">
        <f t="shared" si="22"/>
        <v>4.3721186869887534</v>
      </c>
      <c r="N301">
        <f t="shared" si="23"/>
        <v>24897.725499273245</v>
      </c>
    </row>
    <row r="302" spans="7:14" x14ac:dyDescent="0.25">
      <c r="G302">
        <v>300</v>
      </c>
      <c r="H302">
        <v>0.18492151468813167</v>
      </c>
      <c r="I302">
        <v>0.5047055311183517</v>
      </c>
      <c r="J302">
        <f t="shared" si="24"/>
        <v>4.5135087790745017</v>
      </c>
      <c r="K302">
        <f t="shared" si="20"/>
        <v>1.6992060134251277</v>
      </c>
      <c r="L302">
        <f t="shared" si="21"/>
        <v>0</v>
      </c>
      <c r="M302">
        <f t="shared" si="22"/>
        <v>1.6992060134251277</v>
      </c>
      <c r="N302">
        <f t="shared" si="23"/>
        <v>50.095161144436027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05E1-1CBF-44BD-A968-2259141B7AEF}">
  <dimension ref="C2:O302"/>
  <sheetViews>
    <sheetView tabSelected="1" workbookViewId="0">
      <selection activeCell="S23" sqref="S23"/>
    </sheetView>
  </sheetViews>
  <sheetFormatPr defaultRowHeight="15" x14ac:dyDescent="0.25"/>
  <cols>
    <col min="3" max="3" width="20.7109375" bestFit="1" customWidth="1"/>
    <col min="23" max="23" width="17" customWidth="1"/>
  </cols>
  <sheetData>
    <row r="2" spans="3:15" x14ac:dyDescent="0.25">
      <c r="C2" t="s">
        <v>1</v>
      </c>
      <c r="H2" t="s">
        <v>16</v>
      </c>
      <c r="I2" t="s">
        <v>17</v>
      </c>
      <c r="J2" t="s">
        <v>0</v>
      </c>
      <c r="K2" t="s">
        <v>14</v>
      </c>
      <c r="L2" t="s">
        <v>15</v>
      </c>
      <c r="M2" t="s">
        <v>18</v>
      </c>
      <c r="N2" t="s">
        <v>9</v>
      </c>
      <c r="O2" t="s">
        <v>13</v>
      </c>
    </row>
    <row r="3" spans="3:15" x14ac:dyDescent="0.25">
      <c r="C3" s="1" t="s">
        <v>2</v>
      </c>
      <c r="D3">
        <v>3.5000000000000003E-2</v>
      </c>
      <c r="G3">
        <v>1</v>
      </c>
      <c r="H3">
        <v>7.9720288191389876E-2</v>
      </c>
      <c r="I3">
        <v>0.7139580971735805</v>
      </c>
      <c r="J3">
        <f>$D$6 + H3*(20-$D$6)</f>
        <v>2.5146854756364077</v>
      </c>
      <c r="K3">
        <f t="shared" ref="K3:K66" si="0">$E$7+$D$8*LOG10(J3-$D$6)</f>
        <v>0.72475646127149951</v>
      </c>
      <c r="L3">
        <f t="shared" ref="L3:L66" si="1">IF(J3&gt;=$D$14,$E$15+$D$16*LOG10(J3-$D$14), 0)</f>
        <v>0</v>
      </c>
      <c r="M3">
        <f t="shared" ref="M3:M66" si="2">IF(J3&gt;=$D$22,$E$23+$D$24*LOG10(J3-$D$22), 0)</f>
        <v>0</v>
      </c>
      <c r="N3">
        <f t="shared" ref="N3:N66" si="3">IF(J3&lt;$D$14,K3,IF(AND(J3&gt;=$D$14,J3&lt;$D$22),LOG10(10^K3+10^L3),LOG10(10^K3+10^L3+10^M3)))</f>
        <v>0.72475646127149951</v>
      </c>
      <c r="O3">
        <f t="shared" ref="O3:O66" si="4">10^(N3+_xlfn.NORM.INV(I3, 0, $D$26))</f>
        <v>5.6624675097473265</v>
      </c>
    </row>
    <row r="4" spans="3:15" x14ac:dyDescent="0.25">
      <c r="C4" s="1" t="s">
        <v>3</v>
      </c>
      <c r="D4">
        <v>0.05</v>
      </c>
      <c r="G4">
        <v>2</v>
      </c>
      <c r="H4">
        <v>0.19934627719772058</v>
      </c>
      <c r="I4">
        <v>0.28368093256463134</v>
      </c>
      <c r="J4">
        <f t="shared" ref="J4:J67" si="5">$D$6 + H4*(20-$D$6)</f>
        <v>4.7875792667566905</v>
      </c>
      <c r="K4">
        <f t="shared" si="0"/>
        <v>1.7861945134901214</v>
      </c>
      <c r="L4">
        <f t="shared" si="1"/>
        <v>0</v>
      </c>
      <c r="M4">
        <f t="shared" si="2"/>
        <v>0</v>
      </c>
      <c r="N4">
        <f t="shared" si="3"/>
        <v>1.7861945134901214</v>
      </c>
      <c r="O4">
        <f t="shared" si="4"/>
        <v>57.226535898424515</v>
      </c>
    </row>
    <row r="5" spans="3:15" x14ac:dyDescent="0.25">
      <c r="C5" s="1" t="s">
        <v>4</v>
      </c>
      <c r="D5">
        <v>0.5</v>
      </c>
      <c r="G5">
        <v>3</v>
      </c>
      <c r="H5">
        <v>0.26499415990569852</v>
      </c>
      <c r="I5">
        <v>0.33428057659019861</v>
      </c>
      <c r="J5">
        <f t="shared" si="5"/>
        <v>6.0348890382082718</v>
      </c>
      <c r="K5">
        <f t="shared" si="0"/>
        <v>2.1158696420448408</v>
      </c>
      <c r="L5">
        <f t="shared" si="1"/>
        <v>0</v>
      </c>
      <c r="M5">
        <f t="shared" si="2"/>
        <v>0</v>
      </c>
      <c r="N5">
        <f t="shared" si="3"/>
        <v>2.1158696420448408</v>
      </c>
      <c r="O5">
        <f t="shared" si="4"/>
        <v>124.29780609826862</v>
      </c>
    </row>
    <row r="6" spans="3:15" x14ac:dyDescent="0.25">
      <c r="C6" s="1" t="s">
        <v>5</v>
      </c>
      <c r="D6" s="2">
        <v>1</v>
      </c>
      <c r="G6">
        <v>4</v>
      </c>
      <c r="H6">
        <v>0.44242670588643718</v>
      </c>
      <c r="I6">
        <v>0.65386987244142747</v>
      </c>
      <c r="J6">
        <f t="shared" si="5"/>
        <v>9.4061074118423065</v>
      </c>
      <c r="K6">
        <f t="shared" si="0"/>
        <v>2.7094830588047678</v>
      </c>
      <c r="L6">
        <f t="shared" si="1"/>
        <v>0</v>
      </c>
      <c r="M6">
        <f t="shared" si="2"/>
        <v>0</v>
      </c>
      <c r="N6">
        <f t="shared" si="3"/>
        <v>2.7094830588047678</v>
      </c>
      <c r="O6">
        <f t="shared" si="4"/>
        <v>536.13299844555934</v>
      </c>
    </row>
    <row r="7" spans="3:15" x14ac:dyDescent="0.25">
      <c r="C7" s="1" t="s">
        <v>10</v>
      </c>
      <c r="D7">
        <f>(1.49/D3)*D5*(D5/(2*SQRT(1+D5*D5)))^(2/3)*D4^0.5</f>
        <v>1.7534628349561987</v>
      </c>
      <c r="E7" s="2">
        <f>LOG10(D7)</f>
        <v>0.24389656534469958</v>
      </c>
      <c r="G7">
        <v>5</v>
      </c>
      <c r="H7">
        <v>0.59118798361025271</v>
      </c>
      <c r="I7">
        <v>0.41992133082021488</v>
      </c>
      <c r="J7">
        <f t="shared" si="5"/>
        <v>12.232571688594801</v>
      </c>
      <c r="K7">
        <f t="shared" si="0"/>
        <v>3.0451744294275791</v>
      </c>
      <c r="L7">
        <f t="shared" si="1"/>
        <v>3.5288049284709619</v>
      </c>
      <c r="M7">
        <f t="shared" si="2"/>
        <v>0</v>
      </c>
      <c r="N7">
        <f t="shared" si="3"/>
        <v>3.6521254774857255</v>
      </c>
      <c r="O7">
        <f t="shared" si="4"/>
        <v>4385.5164118103166</v>
      </c>
    </row>
    <row r="8" spans="3:15" x14ac:dyDescent="0.25">
      <c r="C8" s="1" t="s">
        <v>11</v>
      </c>
      <c r="D8" s="2">
        <f>8/3</f>
        <v>2.6666666666666665</v>
      </c>
      <c r="G8">
        <v>6</v>
      </c>
      <c r="H8">
        <v>5.3588044167717563E-2</v>
      </c>
      <c r="I8">
        <v>0.71416578314862189</v>
      </c>
      <c r="J8">
        <f t="shared" si="5"/>
        <v>2.0181728391866338</v>
      </c>
      <c r="K8">
        <f t="shared" si="0"/>
        <v>0.26475391894853234</v>
      </c>
      <c r="L8">
        <f t="shared" si="1"/>
        <v>0</v>
      </c>
      <c r="M8">
        <f t="shared" si="2"/>
        <v>0</v>
      </c>
      <c r="N8">
        <f t="shared" si="3"/>
        <v>0.26475391894853234</v>
      </c>
      <c r="O8">
        <f t="shared" si="4"/>
        <v>1.9635127241419799</v>
      </c>
    </row>
    <row r="9" spans="3:15" x14ac:dyDescent="0.25">
      <c r="G9">
        <v>7</v>
      </c>
      <c r="H9">
        <v>0.6754843248291138</v>
      </c>
      <c r="I9">
        <v>0.30585108300507824</v>
      </c>
      <c r="J9">
        <f t="shared" si="5"/>
        <v>13.834202171753162</v>
      </c>
      <c r="K9">
        <f t="shared" si="0"/>
        <v>3.199546902054462</v>
      </c>
      <c r="L9">
        <f t="shared" si="1"/>
        <v>3.9210371533319726</v>
      </c>
      <c r="M9">
        <f t="shared" si="2"/>
        <v>0</v>
      </c>
      <c r="N9">
        <f t="shared" si="3"/>
        <v>3.9965451895190318</v>
      </c>
      <c r="O9">
        <f t="shared" si="4"/>
        <v>9357.5666285810348</v>
      </c>
    </row>
    <row r="10" spans="3:15" x14ac:dyDescent="0.25">
      <c r="C10" t="s">
        <v>6</v>
      </c>
      <c r="G10">
        <v>8</v>
      </c>
      <c r="H10">
        <v>0.25919915753817446</v>
      </c>
      <c r="I10">
        <v>0.9815877481989973</v>
      </c>
      <c r="J10">
        <f t="shared" si="5"/>
        <v>5.924783993225315</v>
      </c>
      <c r="K10">
        <f t="shared" si="0"/>
        <v>2.090262396247192</v>
      </c>
      <c r="L10">
        <f t="shared" si="1"/>
        <v>0</v>
      </c>
      <c r="M10">
        <f t="shared" si="2"/>
        <v>0</v>
      </c>
      <c r="N10">
        <f t="shared" si="3"/>
        <v>2.090262396247192</v>
      </c>
      <c r="O10">
        <f t="shared" si="4"/>
        <v>156.54803421412683</v>
      </c>
    </row>
    <row r="11" spans="3:15" x14ac:dyDescent="0.25">
      <c r="C11" s="1" t="s">
        <v>2</v>
      </c>
      <c r="D11">
        <v>3.5000000000000003E-2</v>
      </c>
      <c r="G11">
        <v>9</v>
      </c>
      <c r="H11">
        <v>6.9757770635036409E-2</v>
      </c>
      <c r="I11">
        <v>9.0826854481868669E-2</v>
      </c>
      <c r="J11">
        <f t="shared" si="5"/>
        <v>2.3253976420656919</v>
      </c>
      <c r="K11">
        <f t="shared" si="0"/>
        <v>0.57015308168836742</v>
      </c>
      <c r="L11">
        <f t="shared" si="1"/>
        <v>0</v>
      </c>
      <c r="M11">
        <f t="shared" si="2"/>
        <v>0</v>
      </c>
      <c r="N11">
        <f t="shared" si="3"/>
        <v>0.57015308168836742</v>
      </c>
      <c r="O11">
        <f t="shared" si="4"/>
        <v>3.1869045344638582</v>
      </c>
    </row>
    <row r="12" spans="3:15" x14ac:dyDescent="0.25">
      <c r="C12" s="1" t="s">
        <v>3</v>
      </c>
      <c r="D12">
        <v>0.05</v>
      </c>
      <c r="G12">
        <v>10</v>
      </c>
      <c r="H12">
        <v>0.99157770374338261</v>
      </c>
      <c r="I12">
        <v>0.86701142438641587</v>
      </c>
      <c r="J12">
        <f t="shared" si="5"/>
        <v>19.839976371124269</v>
      </c>
      <c r="K12">
        <f t="shared" si="0"/>
        <v>3.6441108420652144</v>
      </c>
      <c r="L12">
        <f t="shared" si="1"/>
        <v>4.6045999613375965</v>
      </c>
      <c r="M12">
        <f t="shared" si="2"/>
        <v>4.7532214495086968</v>
      </c>
      <c r="N12">
        <f t="shared" si="3"/>
        <v>5.0055841829240411</v>
      </c>
      <c r="O12">
        <f t="shared" si="4"/>
        <v>115133.81870985356</v>
      </c>
    </row>
    <row r="13" spans="3:15" x14ac:dyDescent="0.25">
      <c r="C13" s="1" t="s">
        <v>7</v>
      </c>
      <c r="D13">
        <v>20</v>
      </c>
      <c r="G13">
        <v>11</v>
      </c>
      <c r="H13">
        <v>0.4270237630727205</v>
      </c>
      <c r="I13">
        <v>0.50906581440035426</v>
      </c>
      <c r="J13">
        <f t="shared" si="5"/>
        <v>9.1134514983816892</v>
      </c>
      <c r="K13">
        <f t="shared" si="0"/>
        <v>2.6684449502111742</v>
      </c>
      <c r="L13">
        <f t="shared" si="1"/>
        <v>0</v>
      </c>
      <c r="M13">
        <f t="shared" si="2"/>
        <v>0</v>
      </c>
      <c r="N13">
        <f t="shared" si="3"/>
        <v>2.6684449502111742</v>
      </c>
      <c r="O13">
        <f t="shared" si="4"/>
        <v>467.28439649588813</v>
      </c>
    </row>
    <row r="14" spans="3:15" x14ac:dyDescent="0.25">
      <c r="C14" s="1" t="s">
        <v>8</v>
      </c>
      <c r="D14" s="2">
        <v>10</v>
      </c>
      <c r="G14">
        <v>12</v>
      </c>
      <c r="H14">
        <v>0.6755608830112223</v>
      </c>
      <c r="I14">
        <v>0.92297108284650498</v>
      </c>
      <c r="J14">
        <f t="shared" si="5"/>
        <v>13.835656777213224</v>
      </c>
      <c r="K14">
        <f t="shared" si="0"/>
        <v>3.1996781537041796</v>
      </c>
      <c r="L14">
        <f t="shared" si="1"/>
        <v>3.9213122520835495</v>
      </c>
      <c r="M14">
        <f t="shared" si="2"/>
        <v>0</v>
      </c>
      <c r="N14">
        <f t="shared" si="3"/>
        <v>3.9967973351159003</v>
      </c>
      <c r="O14">
        <f t="shared" si="4"/>
        <v>11696.731667414579</v>
      </c>
    </row>
    <row r="15" spans="3:15" x14ac:dyDescent="0.25">
      <c r="C15" s="1" t="s">
        <v>10</v>
      </c>
      <c r="D15">
        <f>(1.49/D11)*D13*(D13/2)^(2/3)*D12^0.5</f>
        <v>883.68989438786173</v>
      </c>
      <c r="E15" s="2">
        <f>LOG10(D15)</f>
        <v>2.9462998885606555</v>
      </c>
      <c r="G15">
        <v>13</v>
      </c>
      <c r="H15">
        <v>0.75877761861881554</v>
      </c>
      <c r="I15">
        <v>0.24699772979403778</v>
      </c>
      <c r="J15">
        <f t="shared" si="5"/>
        <v>15.416774753757496</v>
      </c>
      <c r="K15">
        <f t="shared" si="0"/>
        <v>3.3342115337062594</v>
      </c>
      <c r="L15">
        <f t="shared" si="1"/>
        <v>4.1716469855750251</v>
      </c>
      <c r="M15">
        <f t="shared" si="2"/>
        <v>2.974768580331816</v>
      </c>
      <c r="N15">
        <f t="shared" si="3"/>
        <v>4.2540556596942594</v>
      </c>
      <c r="O15">
        <f t="shared" si="4"/>
        <v>16590.415640779069</v>
      </c>
    </row>
    <row r="16" spans="3:15" x14ac:dyDescent="0.25">
      <c r="C16" s="1" t="s">
        <v>11</v>
      </c>
      <c r="D16" s="2">
        <v>1.67</v>
      </c>
      <c r="G16">
        <v>14</v>
      </c>
      <c r="H16">
        <v>0.15690568112279224</v>
      </c>
      <c r="I16">
        <v>0.11950619554296371</v>
      </c>
      <c r="J16">
        <f t="shared" si="5"/>
        <v>3.9812079413330528</v>
      </c>
      <c r="K16">
        <f t="shared" si="0"/>
        <v>1.5089426171637208</v>
      </c>
      <c r="L16">
        <f t="shared" si="1"/>
        <v>0</v>
      </c>
      <c r="M16">
        <f t="shared" si="2"/>
        <v>0</v>
      </c>
      <c r="N16">
        <f t="shared" si="3"/>
        <v>1.5089426171637208</v>
      </c>
      <c r="O16">
        <f t="shared" si="4"/>
        <v>28.188351083497615</v>
      </c>
    </row>
    <row r="17" spans="3:15" x14ac:dyDescent="0.25">
      <c r="G17">
        <v>15</v>
      </c>
      <c r="H17">
        <v>0.20729637297699166</v>
      </c>
      <c r="I17">
        <v>0.26723021008568604</v>
      </c>
      <c r="J17">
        <f t="shared" si="5"/>
        <v>4.9386310865628413</v>
      </c>
      <c r="K17">
        <f t="shared" si="0"/>
        <v>1.8314840436109183</v>
      </c>
      <c r="L17">
        <f t="shared" si="1"/>
        <v>0</v>
      </c>
      <c r="M17">
        <f t="shared" si="2"/>
        <v>0</v>
      </c>
      <c r="N17">
        <f t="shared" si="3"/>
        <v>1.8314840436109183</v>
      </c>
      <c r="O17">
        <f t="shared" si="4"/>
        <v>63.157286775050721</v>
      </c>
    </row>
    <row r="18" spans="3:15" x14ac:dyDescent="0.25">
      <c r="C18" t="s">
        <v>6</v>
      </c>
      <c r="G18">
        <v>16</v>
      </c>
      <c r="H18">
        <v>0.21644453206449998</v>
      </c>
      <c r="I18">
        <v>0.61254117729608781</v>
      </c>
      <c r="J18">
        <f t="shared" si="5"/>
        <v>5.1124461092255</v>
      </c>
      <c r="K18">
        <f t="shared" si="0"/>
        <v>1.8814971516518519</v>
      </c>
      <c r="L18">
        <f t="shared" si="1"/>
        <v>0</v>
      </c>
      <c r="M18">
        <f t="shared" si="2"/>
        <v>0</v>
      </c>
      <c r="N18">
        <f t="shared" si="3"/>
        <v>1.8814971516518519</v>
      </c>
      <c r="O18">
        <f t="shared" si="4"/>
        <v>78.667359197778126</v>
      </c>
    </row>
    <row r="19" spans="3:15" x14ac:dyDescent="0.25">
      <c r="C19" s="1" t="s">
        <v>2</v>
      </c>
      <c r="D19">
        <v>3.5000000000000003E-2</v>
      </c>
      <c r="G19">
        <v>17</v>
      </c>
      <c r="H19">
        <v>0.14547567158605101</v>
      </c>
      <c r="I19">
        <v>0.38135142535069388</v>
      </c>
      <c r="J19">
        <f t="shared" si="5"/>
        <v>3.7640377601349693</v>
      </c>
      <c r="K19">
        <f t="shared" si="0"/>
        <v>1.4213471566413804</v>
      </c>
      <c r="L19">
        <f t="shared" si="1"/>
        <v>0</v>
      </c>
      <c r="M19">
        <f t="shared" si="2"/>
        <v>0</v>
      </c>
      <c r="N19">
        <f t="shared" si="3"/>
        <v>1.4213471566413804</v>
      </c>
      <c r="O19">
        <f t="shared" si="4"/>
        <v>25.482996099575715</v>
      </c>
    </row>
    <row r="20" spans="3:15" x14ac:dyDescent="0.25">
      <c r="C20" s="1" t="s">
        <v>3</v>
      </c>
      <c r="D20">
        <v>0.05</v>
      </c>
      <c r="G20">
        <v>18</v>
      </c>
      <c r="H20">
        <v>0.54526022428315635</v>
      </c>
      <c r="I20">
        <v>0.41553034938530697</v>
      </c>
      <c r="J20">
        <f t="shared" si="5"/>
        <v>11.359944261379971</v>
      </c>
      <c r="K20">
        <f t="shared" si="0"/>
        <v>2.9515163488708853</v>
      </c>
      <c r="L20">
        <f t="shared" si="1"/>
        <v>3.169280140188286</v>
      </c>
      <c r="M20">
        <f t="shared" si="2"/>
        <v>0</v>
      </c>
      <c r="N20">
        <f t="shared" si="3"/>
        <v>3.3749364884140709</v>
      </c>
      <c r="O20">
        <f t="shared" si="4"/>
        <v>2313.4995499213596</v>
      </c>
    </row>
    <row r="21" spans="3:15" x14ac:dyDescent="0.25">
      <c r="C21" s="1" t="s">
        <v>7</v>
      </c>
      <c r="D21">
        <v>50</v>
      </c>
      <c r="G21">
        <v>19</v>
      </c>
      <c r="H21">
        <v>5.0367241826119513E-2</v>
      </c>
      <c r="I21">
        <v>0.55465201768409811</v>
      </c>
      <c r="J21">
        <f t="shared" si="5"/>
        <v>1.9569775946962706</v>
      </c>
      <c r="K21">
        <f t="shared" si="0"/>
        <v>0.19296795186857882</v>
      </c>
      <c r="L21">
        <f t="shared" si="1"/>
        <v>0</v>
      </c>
      <c r="M21">
        <f t="shared" si="2"/>
        <v>0</v>
      </c>
      <c r="N21">
        <f t="shared" si="3"/>
        <v>0.19296795186857882</v>
      </c>
      <c r="O21">
        <f t="shared" si="4"/>
        <v>1.5843062398931438</v>
      </c>
    </row>
    <row r="22" spans="3:15" x14ac:dyDescent="0.25">
      <c r="C22" s="1" t="s">
        <v>8</v>
      </c>
      <c r="D22" s="2">
        <v>15</v>
      </c>
      <c r="G22">
        <v>20</v>
      </c>
      <c r="H22">
        <v>7.8325635501351187E-2</v>
      </c>
      <c r="I22">
        <v>0.50188890433249078</v>
      </c>
      <c r="J22">
        <f t="shared" si="5"/>
        <v>2.4881870745256727</v>
      </c>
      <c r="K22">
        <f t="shared" si="0"/>
        <v>0.70431664055568421</v>
      </c>
      <c r="L22">
        <f t="shared" si="1"/>
        <v>0</v>
      </c>
      <c r="M22">
        <f t="shared" si="2"/>
        <v>0</v>
      </c>
      <c r="N22">
        <f t="shared" si="3"/>
        <v>0.70431664055568421</v>
      </c>
      <c r="O22">
        <f t="shared" si="4"/>
        <v>5.0646959745763844</v>
      </c>
    </row>
    <row r="23" spans="3:15" x14ac:dyDescent="0.25">
      <c r="C23" s="1" t="s">
        <v>10</v>
      </c>
      <c r="D23">
        <f>(1.49/D19)*D21*(D21/2)^(2/3)*D20^0.5</f>
        <v>4069.4267574438463</v>
      </c>
      <c r="E23" s="2">
        <f>LOG10(D23)</f>
        <v>3.6095332363473847</v>
      </c>
      <c r="G23">
        <v>21</v>
      </c>
      <c r="H23">
        <v>0.33404069287474247</v>
      </c>
      <c r="I23">
        <v>0.65269990583242155</v>
      </c>
      <c r="J23">
        <f t="shared" si="5"/>
        <v>7.3467731646201067</v>
      </c>
      <c r="K23">
        <f t="shared" si="0"/>
        <v>2.3840378367840009</v>
      </c>
      <c r="L23">
        <f t="shared" si="1"/>
        <v>0</v>
      </c>
      <c r="M23">
        <f t="shared" si="2"/>
        <v>0</v>
      </c>
      <c r="N23">
        <f t="shared" si="3"/>
        <v>2.3840378367840009</v>
      </c>
      <c r="O23">
        <f t="shared" si="4"/>
        <v>253.31962429454532</v>
      </c>
    </row>
    <row r="24" spans="3:15" x14ac:dyDescent="0.25">
      <c r="C24" s="1" t="s">
        <v>11</v>
      </c>
      <c r="D24" s="2">
        <v>1.67</v>
      </c>
      <c r="G24">
        <v>22</v>
      </c>
      <c r="H24">
        <v>0.47124691685462083</v>
      </c>
      <c r="I24">
        <v>0.88827964654306968</v>
      </c>
      <c r="J24">
        <f t="shared" si="5"/>
        <v>9.9536914202377957</v>
      </c>
      <c r="K24">
        <f t="shared" si="0"/>
        <v>2.7825688927923631</v>
      </c>
      <c r="L24">
        <f t="shared" si="1"/>
        <v>0</v>
      </c>
      <c r="M24">
        <f t="shared" si="2"/>
        <v>0</v>
      </c>
      <c r="N24">
        <f t="shared" si="3"/>
        <v>2.7825688927923631</v>
      </c>
      <c r="O24">
        <f t="shared" si="4"/>
        <v>697.33326980736069</v>
      </c>
    </row>
    <row r="25" spans="3:15" x14ac:dyDescent="0.25">
      <c r="G25">
        <v>23</v>
      </c>
      <c r="H25">
        <v>0.9579419035757476</v>
      </c>
      <c r="I25">
        <v>0.38149549216730572</v>
      </c>
      <c r="J25">
        <f t="shared" si="5"/>
        <v>19.200896167939206</v>
      </c>
      <c r="K25">
        <f t="shared" si="0"/>
        <v>3.6041439576578727</v>
      </c>
      <c r="L25">
        <f t="shared" si="1"/>
        <v>4.555896205191468</v>
      </c>
      <c r="M25">
        <f t="shared" si="2"/>
        <v>4.6505142884518698</v>
      </c>
      <c r="N25">
        <f t="shared" si="3"/>
        <v>4.9279186002445901</v>
      </c>
      <c r="O25">
        <f t="shared" si="4"/>
        <v>81816.487081866318</v>
      </c>
    </row>
    <row r="26" spans="3:15" x14ac:dyDescent="0.25">
      <c r="C26" s="1" t="s">
        <v>12</v>
      </c>
      <c r="D26" s="2">
        <v>0.05</v>
      </c>
      <c r="G26">
        <v>24</v>
      </c>
      <c r="H26">
        <v>0.33477478970879004</v>
      </c>
      <c r="I26">
        <v>0.43831649982363119</v>
      </c>
      <c r="J26">
        <f t="shared" si="5"/>
        <v>7.3607210044670106</v>
      </c>
      <c r="K26">
        <f t="shared" si="0"/>
        <v>2.3865801569747771</v>
      </c>
      <c r="L26">
        <f t="shared" si="1"/>
        <v>0</v>
      </c>
      <c r="M26">
        <f t="shared" si="2"/>
        <v>0</v>
      </c>
      <c r="N26">
        <f t="shared" si="3"/>
        <v>2.3865801569747771</v>
      </c>
      <c r="O26">
        <f t="shared" si="4"/>
        <v>239.23141722822342</v>
      </c>
    </row>
    <row r="27" spans="3:15" x14ac:dyDescent="0.25">
      <c r="C27" s="1"/>
      <c r="G27">
        <v>25</v>
      </c>
      <c r="H27">
        <v>0.68751369310433119</v>
      </c>
      <c r="I27">
        <v>0.95092244760447264</v>
      </c>
      <c r="J27">
        <f t="shared" si="5"/>
        <v>14.062760168982292</v>
      </c>
      <c r="K27">
        <f t="shared" si="0"/>
        <v>3.2199897741915584</v>
      </c>
      <c r="L27">
        <f t="shared" si="1"/>
        <v>3.963031269193976</v>
      </c>
      <c r="M27">
        <f t="shared" si="2"/>
        <v>0</v>
      </c>
      <c r="N27">
        <f t="shared" si="3"/>
        <v>4.0351708863723328</v>
      </c>
      <c r="O27">
        <f t="shared" si="4"/>
        <v>13117.893393868499</v>
      </c>
    </row>
    <row r="28" spans="3:15" x14ac:dyDescent="0.25">
      <c r="G28">
        <v>26</v>
      </c>
      <c r="H28">
        <v>0.91945692357688402</v>
      </c>
      <c r="I28">
        <v>0.98153800791011536</v>
      </c>
      <c r="J28">
        <f t="shared" si="5"/>
        <v>18.469681547960796</v>
      </c>
      <c r="K28">
        <f t="shared" si="0"/>
        <v>3.5566565343319754</v>
      </c>
      <c r="L28">
        <f t="shared" si="1"/>
        <v>4.4958379147904086</v>
      </c>
      <c r="M28">
        <f t="shared" si="2"/>
        <v>4.5118168958828351</v>
      </c>
      <c r="N28">
        <f t="shared" si="3"/>
        <v>4.8287831307462987</v>
      </c>
      <c r="O28">
        <f t="shared" si="4"/>
        <v>85726.147931528802</v>
      </c>
    </row>
    <row r="29" spans="3:15" x14ac:dyDescent="0.25">
      <c r="G29">
        <v>27</v>
      </c>
      <c r="H29">
        <v>0.21979990499104707</v>
      </c>
      <c r="I29">
        <v>0.52712493382008696</v>
      </c>
      <c r="J29">
        <f t="shared" si="5"/>
        <v>5.1761981948298939</v>
      </c>
      <c r="K29">
        <f t="shared" si="0"/>
        <v>1.8993128355198308</v>
      </c>
      <c r="L29">
        <f t="shared" si="1"/>
        <v>0</v>
      </c>
      <c r="M29">
        <f t="shared" si="2"/>
        <v>0</v>
      </c>
      <c r="N29">
        <f t="shared" si="3"/>
        <v>1.8993128355198308</v>
      </c>
      <c r="O29">
        <f t="shared" si="4"/>
        <v>79.930966697439857</v>
      </c>
    </row>
    <row r="30" spans="3:15" x14ac:dyDescent="0.25">
      <c r="G30">
        <v>28</v>
      </c>
      <c r="H30">
        <v>0.16401230171361347</v>
      </c>
      <c r="I30">
        <v>5.5642340176892402E-2</v>
      </c>
      <c r="J30">
        <f t="shared" si="5"/>
        <v>4.1162337325586558</v>
      </c>
      <c r="K30">
        <f t="shared" si="0"/>
        <v>1.560243297085554</v>
      </c>
      <c r="L30">
        <f t="shared" si="1"/>
        <v>0</v>
      </c>
      <c r="M30">
        <f t="shared" si="2"/>
        <v>0</v>
      </c>
      <c r="N30">
        <f t="shared" si="3"/>
        <v>1.560243297085554</v>
      </c>
      <c r="O30">
        <f t="shared" si="4"/>
        <v>30.242732712716244</v>
      </c>
    </row>
    <row r="31" spans="3:15" x14ac:dyDescent="0.25">
      <c r="G31">
        <v>29</v>
      </c>
      <c r="H31">
        <v>0.9447049009709636</v>
      </c>
      <c r="I31">
        <v>0.31003880363329717</v>
      </c>
      <c r="J31">
        <f t="shared" si="5"/>
        <v>18.94939311844831</v>
      </c>
      <c r="K31">
        <f t="shared" si="0"/>
        <v>3.5880292836433343</v>
      </c>
      <c r="L31">
        <f t="shared" si="1"/>
        <v>4.5357951766455136</v>
      </c>
      <c r="M31">
        <f t="shared" si="2"/>
        <v>4.6057389460733349</v>
      </c>
      <c r="N31">
        <f t="shared" si="3"/>
        <v>4.895161209495698</v>
      </c>
      <c r="O31">
        <f t="shared" si="4"/>
        <v>74194.923513870279</v>
      </c>
    </row>
    <row r="32" spans="3:15" x14ac:dyDescent="0.25">
      <c r="G32">
        <v>30</v>
      </c>
      <c r="H32">
        <v>0.79546461621857412</v>
      </c>
      <c r="I32">
        <v>0.19519298110335559</v>
      </c>
      <c r="J32">
        <f t="shared" si="5"/>
        <v>16.113827708152908</v>
      </c>
      <c r="K32">
        <f t="shared" si="0"/>
        <v>3.3888951443292896</v>
      </c>
      <c r="L32">
        <f t="shared" si="1"/>
        <v>4.2594429256250237</v>
      </c>
      <c r="M32">
        <f t="shared" si="2"/>
        <v>3.6877193254417748</v>
      </c>
      <c r="N32">
        <f t="shared" si="3"/>
        <v>4.4064429078758627</v>
      </c>
      <c r="O32">
        <f t="shared" si="4"/>
        <v>23093.886465255433</v>
      </c>
    </row>
    <row r="33" spans="7:15" x14ac:dyDescent="0.25">
      <c r="G33">
        <v>31</v>
      </c>
      <c r="H33">
        <v>4.7082223357030384E-2</v>
      </c>
      <c r="I33">
        <v>6.6778717965558898E-2</v>
      </c>
      <c r="J33">
        <f t="shared" si="5"/>
        <v>1.8945622437835774</v>
      </c>
      <c r="K33">
        <f t="shared" si="0"/>
        <v>0.11485806996881762</v>
      </c>
      <c r="L33">
        <f t="shared" si="1"/>
        <v>0</v>
      </c>
      <c r="M33">
        <f t="shared" si="2"/>
        <v>0</v>
      </c>
      <c r="N33">
        <f t="shared" si="3"/>
        <v>0.11485806996881762</v>
      </c>
      <c r="O33">
        <f t="shared" si="4"/>
        <v>1.0960921621311659</v>
      </c>
    </row>
    <row r="34" spans="7:15" x14ac:dyDescent="0.25">
      <c r="G34">
        <v>32</v>
      </c>
      <c r="H34">
        <v>0.3136043752110208</v>
      </c>
      <c r="I34">
        <v>0.28003455482581097</v>
      </c>
      <c r="J34">
        <f t="shared" si="5"/>
        <v>6.9584831290093954</v>
      </c>
      <c r="K34">
        <f t="shared" si="0"/>
        <v>2.3109251360406584</v>
      </c>
      <c r="L34">
        <f t="shared" si="1"/>
        <v>0</v>
      </c>
      <c r="M34">
        <f t="shared" si="2"/>
        <v>0</v>
      </c>
      <c r="N34">
        <f t="shared" si="3"/>
        <v>2.3109251360406584</v>
      </c>
      <c r="O34">
        <f t="shared" si="4"/>
        <v>191.33225634489855</v>
      </c>
    </row>
    <row r="35" spans="7:15" x14ac:dyDescent="0.25">
      <c r="G35">
        <v>33</v>
      </c>
      <c r="H35">
        <v>0.5475079021027659</v>
      </c>
      <c r="I35">
        <v>2.5153425874240964E-2</v>
      </c>
      <c r="J35">
        <f t="shared" si="5"/>
        <v>11.402650139952552</v>
      </c>
      <c r="K35">
        <f t="shared" si="0"/>
        <v>2.9562805456646517</v>
      </c>
      <c r="L35">
        <f t="shared" si="1"/>
        <v>3.1917053187334186</v>
      </c>
      <c r="M35">
        <f t="shared" si="2"/>
        <v>0</v>
      </c>
      <c r="N35">
        <f t="shared" si="3"/>
        <v>3.3907838941188677</v>
      </c>
      <c r="O35">
        <f t="shared" si="4"/>
        <v>1962.9833457728027</v>
      </c>
    </row>
    <row r="36" spans="7:15" x14ac:dyDescent="0.25">
      <c r="G36">
        <v>34</v>
      </c>
      <c r="H36">
        <v>0.60558660289717148</v>
      </c>
      <c r="I36">
        <v>0.37805515798670453</v>
      </c>
      <c r="J36">
        <f t="shared" si="5"/>
        <v>12.506145455046259</v>
      </c>
      <c r="K36">
        <f t="shared" si="0"/>
        <v>3.0730428583099538</v>
      </c>
      <c r="L36">
        <f t="shared" si="1"/>
        <v>3.6126403654022932</v>
      </c>
      <c r="M36">
        <f t="shared" si="2"/>
        <v>0</v>
      </c>
      <c r="N36">
        <f t="shared" si="3"/>
        <v>3.7227822720628962</v>
      </c>
      <c r="O36">
        <f t="shared" si="4"/>
        <v>5096.2724732959432</v>
      </c>
    </row>
    <row r="37" spans="7:15" x14ac:dyDescent="0.25">
      <c r="G37">
        <v>35</v>
      </c>
      <c r="H37">
        <v>0.75115508398638164</v>
      </c>
      <c r="I37">
        <v>0.92144080894760505</v>
      </c>
      <c r="J37">
        <f t="shared" si="5"/>
        <v>15.271946595741252</v>
      </c>
      <c r="K37">
        <f t="shared" si="0"/>
        <v>3.322518463869196</v>
      </c>
      <c r="L37">
        <f t="shared" si="1"/>
        <v>4.1519914623203062</v>
      </c>
      <c r="M37">
        <f t="shared" si="2"/>
        <v>2.6651208928311192</v>
      </c>
      <c r="N37">
        <f t="shared" si="3"/>
        <v>4.2241250721532779</v>
      </c>
      <c r="O37">
        <f t="shared" si="4"/>
        <v>19718.168157241504</v>
      </c>
    </row>
    <row r="38" spans="7:15" x14ac:dyDescent="0.25">
      <c r="G38">
        <v>36</v>
      </c>
      <c r="H38">
        <v>0.19349784667875203</v>
      </c>
      <c r="I38">
        <v>0.23708794860578075</v>
      </c>
      <c r="J38">
        <f t="shared" si="5"/>
        <v>4.6764590868962888</v>
      </c>
      <c r="K38">
        <f t="shared" si="0"/>
        <v>1.7517091982309998</v>
      </c>
      <c r="L38">
        <f t="shared" si="1"/>
        <v>0</v>
      </c>
      <c r="M38">
        <f t="shared" si="2"/>
        <v>0</v>
      </c>
      <c r="N38">
        <f t="shared" si="3"/>
        <v>1.7517091982309998</v>
      </c>
      <c r="O38">
        <f t="shared" si="4"/>
        <v>51.990517518016567</v>
      </c>
    </row>
    <row r="39" spans="7:15" x14ac:dyDescent="0.25">
      <c r="G39">
        <v>37</v>
      </c>
      <c r="H39">
        <v>0.50880385963376629</v>
      </c>
      <c r="I39">
        <v>0.46549897124702022</v>
      </c>
      <c r="J39">
        <f t="shared" si="5"/>
        <v>10.66727333304156</v>
      </c>
      <c r="K39">
        <f t="shared" si="0"/>
        <v>2.8713738934343347</v>
      </c>
      <c r="L39">
        <f t="shared" si="1"/>
        <v>2.6528871828279574</v>
      </c>
      <c r="M39">
        <f t="shared" si="2"/>
        <v>0</v>
      </c>
      <c r="N39">
        <f t="shared" si="3"/>
        <v>3.0767576926989237</v>
      </c>
      <c r="O39">
        <f t="shared" si="4"/>
        <v>1181.4850370967993</v>
      </c>
    </row>
    <row r="40" spans="7:15" x14ac:dyDescent="0.25">
      <c r="G40">
        <v>38</v>
      </c>
      <c r="H40">
        <v>0.133794549290566</v>
      </c>
      <c r="I40">
        <v>7.7854210424469161E-2</v>
      </c>
      <c r="J40">
        <f t="shared" si="5"/>
        <v>3.5420964365207541</v>
      </c>
      <c r="K40">
        <f t="shared" si="0"/>
        <v>1.3244086236090846</v>
      </c>
      <c r="L40">
        <f t="shared" si="1"/>
        <v>0</v>
      </c>
      <c r="M40">
        <f t="shared" si="2"/>
        <v>0</v>
      </c>
      <c r="N40">
        <f t="shared" si="3"/>
        <v>1.3244086236090846</v>
      </c>
      <c r="O40">
        <f t="shared" si="4"/>
        <v>17.92362797137082</v>
      </c>
    </row>
    <row r="41" spans="7:15" x14ac:dyDescent="0.25">
      <c r="G41">
        <v>39</v>
      </c>
      <c r="H41">
        <v>0.33062981218974719</v>
      </c>
      <c r="I41">
        <v>0.53338282061081743</v>
      </c>
      <c r="J41">
        <f t="shared" si="5"/>
        <v>7.2819664316051966</v>
      </c>
      <c r="K41">
        <f t="shared" si="0"/>
        <v>2.3721515289906536</v>
      </c>
      <c r="L41">
        <f t="shared" si="1"/>
        <v>0</v>
      </c>
      <c r="M41">
        <f t="shared" si="2"/>
        <v>0</v>
      </c>
      <c r="N41">
        <f t="shared" si="3"/>
        <v>2.3721515289906536</v>
      </c>
      <c r="O41">
        <f t="shared" si="4"/>
        <v>237.8703654344427</v>
      </c>
    </row>
    <row r="42" spans="7:15" x14ac:dyDescent="0.25">
      <c r="G42">
        <v>40</v>
      </c>
      <c r="H42">
        <v>0.75961634887826257</v>
      </c>
      <c r="I42">
        <v>0.83095523442689834</v>
      </c>
      <c r="J42">
        <f t="shared" si="5"/>
        <v>15.432710628686989</v>
      </c>
      <c r="K42">
        <f t="shared" si="0"/>
        <v>3.3354909766556853</v>
      </c>
      <c r="L42">
        <f t="shared" si="1"/>
        <v>4.1737775656636469</v>
      </c>
      <c r="M42">
        <f t="shared" si="2"/>
        <v>3.0019831664254113</v>
      </c>
      <c r="N42">
        <f t="shared" si="3"/>
        <v>4.2574395774114642</v>
      </c>
      <c r="O42">
        <f t="shared" si="4"/>
        <v>20199.328066099479</v>
      </c>
    </row>
    <row r="43" spans="7:15" x14ac:dyDescent="0.25">
      <c r="G43">
        <v>41</v>
      </c>
      <c r="H43">
        <v>0.7176382195122869</v>
      </c>
      <c r="I43">
        <v>0.90175312307246258</v>
      </c>
      <c r="J43">
        <f t="shared" si="5"/>
        <v>14.635126170733452</v>
      </c>
      <c r="K43">
        <f t="shared" si="0"/>
        <v>3.2696543279567094</v>
      </c>
      <c r="L43">
        <f t="shared" si="1"/>
        <v>4.0586226943964885</v>
      </c>
      <c r="M43">
        <f t="shared" si="2"/>
        <v>0</v>
      </c>
      <c r="N43">
        <f t="shared" si="3"/>
        <v>4.12404057957548</v>
      </c>
      <c r="O43">
        <f t="shared" si="4"/>
        <v>15439.060213781615</v>
      </c>
    </row>
    <row r="44" spans="7:15" x14ac:dyDescent="0.25">
      <c r="G44">
        <v>42</v>
      </c>
      <c r="H44">
        <v>0.95246980315777741</v>
      </c>
      <c r="I44">
        <v>0.70352935341219192</v>
      </c>
      <c r="J44">
        <f t="shared" si="5"/>
        <v>19.096926259997772</v>
      </c>
      <c r="K44">
        <f t="shared" si="0"/>
        <v>3.597509410051976</v>
      </c>
      <c r="L44">
        <f t="shared" si="1"/>
        <v>4.5476539946730341</v>
      </c>
      <c r="M44">
        <f t="shared" si="2"/>
        <v>4.6323383422012867</v>
      </c>
      <c r="N44">
        <f t="shared" si="3"/>
        <v>4.9145375034228111</v>
      </c>
      <c r="O44">
        <f t="shared" si="4"/>
        <v>87350.7086870856</v>
      </c>
    </row>
    <row r="45" spans="7:15" x14ac:dyDescent="0.25">
      <c r="G45">
        <v>43</v>
      </c>
      <c r="H45">
        <v>0.25505921432819012</v>
      </c>
      <c r="I45">
        <v>0.56825511023500064</v>
      </c>
      <c r="J45">
        <f t="shared" si="5"/>
        <v>5.846125072235612</v>
      </c>
      <c r="K45">
        <f t="shared" si="0"/>
        <v>2.0716155480817067</v>
      </c>
      <c r="L45">
        <f t="shared" si="1"/>
        <v>0</v>
      </c>
      <c r="M45">
        <f t="shared" si="2"/>
        <v>0</v>
      </c>
      <c r="N45">
        <f t="shared" si="3"/>
        <v>2.0716155480817067</v>
      </c>
      <c r="O45">
        <f t="shared" si="4"/>
        <v>120.28520840597703</v>
      </c>
    </row>
    <row r="46" spans="7:15" x14ac:dyDescent="0.25">
      <c r="G46">
        <v>44</v>
      </c>
      <c r="H46">
        <v>3.0314082248744656E-2</v>
      </c>
      <c r="I46">
        <v>0.88564805122046752</v>
      </c>
      <c r="J46">
        <f t="shared" si="5"/>
        <v>1.5759675627261485</v>
      </c>
      <c r="K46">
        <f t="shared" si="0"/>
        <v>-0.39504203314580222</v>
      </c>
      <c r="L46">
        <f t="shared" si="1"/>
        <v>0</v>
      </c>
      <c r="M46">
        <f t="shared" si="2"/>
        <v>0</v>
      </c>
      <c r="N46">
        <f t="shared" si="3"/>
        <v>-0.39504203314580222</v>
      </c>
      <c r="O46">
        <f t="shared" si="4"/>
        <v>0.46253348710802711</v>
      </c>
    </row>
    <row r="47" spans="7:15" x14ac:dyDescent="0.25">
      <c r="G47">
        <v>45</v>
      </c>
      <c r="H47">
        <v>0.44563030613746679</v>
      </c>
      <c r="I47">
        <v>0.66918195126700009</v>
      </c>
      <c r="J47">
        <f t="shared" si="5"/>
        <v>9.4669758166118694</v>
      </c>
      <c r="K47">
        <f t="shared" si="0"/>
        <v>2.717838750253823</v>
      </c>
      <c r="L47">
        <f t="shared" si="1"/>
        <v>0</v>
      </c>
      <c r="M47">
        <f t="shared" si="2"/>
        <v>0</v>
      </c>
      <c r="N47">
        <f t="shared" si="3"/>
        <v>2.717838750253823</v>
      </c>
      <c r="O47">
        <f t="shared" si="4"/>
        <v>549.18860903629889</v>
      </c>
    </row>
    <row r="48" spans="7:15" x14ac:dyDescent="0.25">
      <c r="G48">
        <v>46</v>
      </c>
      <c r="H48">
        <v>0.39133431861507328</v>
      </c>
      <c r="I48">
        <v>0.6781300209590212</v>
      </c>
      <c r="J48">
        <f t="shared" si="5"/>
        <v>8.4353520536863922</v>
      </c>
      <c r="K48">
        <f t="shared" si="0"/>
        <v>2.5673673295868413</v>
      </c>
      <c r="L48">
        <f t="shared" si="1"/>
        <v>0</v>
      </c>
      <c r="M48">
        <f t="shared" si="2"/>
        <v>0</v>
      </c>
      <c r="N48">
        <f t="shared" si="3"/>
        <v>2.5673673295868413</v>
      </c>
      <c r="O48">
        <f t="shared" si="4"/>
        <v>389.48535563397132</v>
      </c>
    </row>
    <row r="49" spans="7:15" x14ac:dyDescent="0.25">
      <c r="G49">
        <v>47</v>
      </c>
      <c r="H49">
        <v>0.95206910921557397</v>
      </c>
      <c r="I49">
        <v>0.56047865016780207</v>
      </c>
      <c r="J49">
        <f t="shared" si="5"/>
        <v>19.089313075095905</v>
      </c>
      <c r="K49">
        <f t="shared" si="0"/>
        <v>3.5970220993243434</v>
      </c>
      <c r="L49">
        <f t="shared" si="1"/>
        <v>4.5470467631918652</v>
      </c>
      <c r="M49">
        <f t="shared" si="2"/>
        <v>4.6309893394254118</v>
      </c>
      <c r="N49">
        <f t="shared" si="3"/>
        <v>4.9135488942599634</v>
      </c>
      <c r="O49">
        <f t="shared" si="4"/>
        <v>83398.461313489926</v>
      </c>
    </row>
    <row r="50" spans="7:15" x14ac:dyDescent="0.25">
      <c r="G50">
        <v>48</v>
      </c>
      <c r="H50">
        <v>0.4702478672900382</v>
      </c>
      <c r="I50">
        <v>6.6305248569390018E-2</v>
      </c>
      <c r="J50">
        <f t="shared" si="5"/>
        <v>9.9347094785107259</v>
      </c>
      <c r="K50">
        <f t="shared" si="0"/>
        <v>2.7801110600880112</v>
      </c>
      <c r="L50">
        <f t="shared" si="1"/>
        <v>0</v>
      </c>
      <c r="M50">
        <f t="shared" si="2"/>
        <v>0</v>
      </c>
      <c r="N50">
        <f t="shared" si="3"/>
        <v>2.7801110600880112</v>
      </c>
      <c r="O50">
        <f t="shared" si="4"/>
        <v>506.89349316613783</v>
      </c>
    </row>
    <row r="51" spans="7:15" x14ac:dyDescent="0.25">
      <c r="G51">
        <v>49</v>
      </c>
      <c r="H51">
        <v>0.75327648901149391</v>
      </c>
      <c r="I51">
        <v>0.85979485916509679</v>
      </c>
      <c r="J51">
        <f t="shared" si="5"/>
        <v>15.312253291218385</v>
      </c>
      <c r="K51">
        <f t="shared" si="0"/>
        <v>3.3257846014978578</v>
      </c>
      <c r="L51">
        <f t="shared" si="1"/>
        <v>4.1575154415719968</v>
      </c>
      <c r="M51">
        <f t="shared" si="2"/>
        <v>2.7653599674789517</v>
      </c>
      <c r="N51">
        <f t="shared" si="3"/>
        <v>4.2322802852414121</v>
      </c>
      <c r="O51">
        <f t="shared" si="4"/>
        <v>19330.816222632246</v>
      </c>
    </row>
    <row r="52" spans="7:15" x14ac:dyDescent="0.25">
      <c r="G52">
        <v>50</v>
      </c>
      <c r="H52">
        <v>0.94159389253078885</v>
      </c>
      <c r="I52">
        <v>0.98351410704938846</v>
      </c>
      <c r="J52">
        <f t="shared" si="5"/>
        <v>18.890283958084989</v>
      </c>
      <c r="K52">
        <f t="shared" si="0"/>
        <v>3.5842091888887291</v>
      </c>
      <c r="L52">
        <f t="shared" si="1"/>
        <v>4.5309889951287268</v>
      </c>
      <c r="M52">
        <f t="shared" si="2"/>
        <v>4.5948020112478787</v>
      </c>
      <c r="N52">
        <f t="shared" si="3"/>
        <v>4.887266449172631</v>
      </c>
      <c r="O52">
        <f t="shared" si="4"/>
        <v>98602.46751547647</v>
      </c>
    </row>
    <row r="53" spans="7:15" x14ac:dyDescent="0.25">
      <c r="G53">
        <v>51</v>
      </c>
      <c r="H53">
        <v>0.56749672867107348</v>
      </c>
      <c r="I53">
        <v>0.42627587911618725</v>
      </c>
      <c r="J53">
        <f t="shared" si="5"/>
        <v>11.782437844750396</v>
      </c>
      <c r="K53">
        <f t="shared" si="0"/>
        <v>2.9978084675826446</v>
      </c>
      <c r="L53">
        <f t="shared" si="1"/>
        <v>3.3654939274412761</v>
      </c>
      <c r="M53">
        <f t="shared" si="2"/>
        <v>0</v>
      </c>
      <c r="N53">
        <f t="shared" si="3"/>
        <v>3.5204833055789084</v>
      </c>
      <c r="O53">
        <f t="shared" si="4"/>
        <v>3244.8163938820744</v>
      </c>
    </row>
    <row r="54" spans="7:15" x14ac:dyDescent="0.25">
      <c r="G54">
        <v>52</v>
      </c>
      <c r="H54">
        <v>0.66383150821645664</v>
      </c>
      <c r="I54">
        <v>0.16591933840477435</v>
      </c>
      <c r="J54">
        <f t="shared" si="5"/>
        <v>13.612798656112677</v>
      </c>
      <c r="K54">
        <f t="shared" si="0"/>
        <v>3.1793937998645756</v>
      </c>
      <c r="L54">
        <f t="shared" si="1"/>
        <v>3.877898965583352</v>
      </c>
      <c r="M54">
        <f t="shared" si="2"/>
        <v>0</v>
      </c>
      <c r="N54">
        <f t="shared" si="3"/>
        <v>3.9571577192928293</v>
      </c>
      <c r="O54">
        <f t="shared" si="4"/>
        <v>8102.8326452408992</v>
      </c>
    </row>
    <row r="55" spans="7:15" x14ac:dyDescent="0.25">
      <c r="G55">
        <v>53</v>
      </c>
      <c r="H55">
        <v>0.67703909364679371</v>
      </c>
      <c r="I55">
        <v>0.64069982964703687</v>
      </c>
      <c r="J55">
        <f t="shared" si="5"/>
        <v>13.86374277928908</v>
      </c>
      <c r="K55">
        <f t="shared" si="0"/>
        <v>3.202209491823484</v>
      </c>
      <c r="L55">
        <f t="shared" si="1"/>
        <v>3.9266035933253249</v>
      </c>
      <c r="M55">
        <f t="shared" si="2"/>
        <v>0</v>
      </c>
      <c r="N55">
        <f t="shared" si="3"/>
        <v>4.0016495083586303</v>
      </c>
      <c r="O55">
        <f t="shared" si="4"/>
        <v>10463.235737853336</v>
      </c>
    </row>
    <row r="56" spans="7:15" x14ac:dyDescent="0.25">
      <c r="G56">
        <v>54</v>
      </c>
      <c r="H56">
        <v>0.2174425598672548</v>
      </c>
      <c r="I56">
        <v>0.20097807911715504</v>
      </c>
      <c r="J56">
        <f t="shared" si="5"/>
        <v>5.1314086374778416</v>
      </c>
      <c r="K56">
        <f t="shared" si="0"/>
        <v>1.8868249737513723</v>
      </c>
      <c r="L56">
        <f t="shared" si="1"/>
        <v>0</v>
      </c>
      <c r="M56">
        <f t="shared" si="2"/>
        <v>0</v>
      </c>
      <c r="N56">
        <f t="shared" si="3"/>
        <v>1.8868249737513723</v>
      </c>
      <c r="O56">
        <f t="shared" si="4"/>
        <v>69.971041265926161</v>
      </c>
    </row>
    <row r="57" spans="7:15" x14ac:dyDescent="0.25">
      <c r="G57">
        <v>55</v>
      </c>
      <c r="H57">
        <v>0.58167871132565585</v>
      </c>
      <c r="I57">
        <v>0.66110486158187487</v>
      </c>
      <c r="J57">
        <f t="shared" si="5"/>
        <v>12.051895515187461</v>
      </c>
      <c r="K57">
        <f t="shared" si="0"/>
        <v>3.0263946198414775</v>
      </c>
      <c r="L57">
        <f t="shared" si="1"/>
        <v>3.467599143105613</v>
      </c>
      <c r="M57">
        <f t="shared" si="2"/>
        <v>0</v>
      </c>
      <c r="N57">
        <f t="shared" si="3"/>
        <v>3.6017993507973203</v>
      </c>
      <c r="O57">
        <f t="shared" si="4"/>
        <v>4193.4683512450974</v>
      </c>
    </row>
    <row r="58" spans="7:15" x14ac:dyDescent="0.25">
      <c r="G58">
        <v>56</v>
      </c>
      <c r="H58">
        <v>3.478650556559082E-2</v>
      </c>
      <c r="I58">
        <v>0.23984781660952981</v>
      </c>
      <c r="J58">
        <f t="shared" si="5"/>
        <v>1.6609436057462257</v>
      </c>
      <c r="K58">
        <f t="shared" si="0"/>
        <v>-0.23566502028535977</v>
      </c>
      <c r="L58">
        <f t="shared" si="1"/>
        <v>0</v>
      </c>
      <c r="M58">
        <f t="shared" si="2"/>
        <v>0</v>
      </c>
      <c r="N58">
        <f t="shared" si="3"/>
        <v>-0.23566502028535977</v>
      </c>
      <c r="O58">
        <f t="shared" si="4"/>
        <v>0.5357909461428445</v>
      </c>
    </row>
    <row r="59" spans="7:15" x14ac:dyDescent="0.25">
      <c r="G59">
        <v>57</v>
      </c>
      <c r="H59">
        <v>0.30475651334741549</v>
      </c>
      <c r="I59">
        <v>0.19974951249176376</v>
      </c>
      <c r="J59">
        <f t="shared" si="5"/>
        <v>6.7903737536008943</v>
      </c>
      <c r="K59">
        <f t="shared" si="0"/>
        <v>2.2777808245822646</v>
      </c>
      <c r="L59">
        <f t="shared" si="1"/>
        <v>0</v>
      </c>
      <c r="M59">
        <f t="shared" si="2"/>
        <v>0</v>
      </c>
      <c r="N59">
        <f t="shared" si="3"/>
        <v>2.2777808245822646</v>
      </c>
      <c r="O59">
        <f t="shared" si="4"/>
        <v>172.05013195792628</v>
      </c>
    </row>
    <row r="60" spans="7:15" x14ac:dyDescent="0.25">
      <c r="G60">
        <v>58</v>
      </c>
      <c r="H60">
        <v>0.69295851290633026</v>
      </c>
      <c r="I60">
        <v>0.50377270565068955</v>
      </c>
      <c r="J60">
        <f t="shared" si="5"/>
        <v>14.166211745220275</v>
      </c>
      <c r="K60">
        <f t="shared" si="0"/>
        <v>3.2291254595865437</v>
      </c>
      <c r="L60">
        <f t="shared" si="1"/>
        <v>3.9812679245737033</v>
      </c>
      <c r="M60">
        <f t="shared" si="2"/>
        <v>0</v>
      </c>
      <c r="N60">
        <f t="shared" si="3"/>
        <v>4.0520269854375313</v>
      </c>
      <c r="O60">
        <f t="shared" si="4"/>
        <v>11284.954984358672</v>
      </c>
    </row>
    <row r="61" spans="7:15" x14ac:dyDescent="0.25">
      <c r="G61">
        <v>59</v>
      </c>
      <c r="H61">
        <v>0.33056621123429497</v>
      </c>
      <c r="I61">
        <v>0.11810270313698756</v>
      </c>
      <c r="J61">
        <f t="shared" si="5"/>
        <v>7.2807580134516048</v>
      </c>
      <c r="K61">
        <f t="shared" si="0"/>
        <v>2.3719287283437183</v>
      </c>
      <c r="L61">
        <f t="shared" si="1"/>
        <v>0</v>
      </c>
      <c r="M61">
        <f t="shared" si="2"/>
        <v>0</v>
      </c>
      <c r="N61">
        <f t="shared" si="3"/>
        <v>2.3719287283437183</v>
      </c>
      <c r="O61">
        <f t="shared" si="4"/>
        <v>205.44827114688877</v>
      </c>
    </row>
    <row r="62" spans="7:15" x14ac:dyDescent="0.25">
      <c r="G62">
        <v>60</v>
      </c>
      <c r="H62">
        <v>0.41316457527720762</v>
      </c>
      <c r="I62">
        <v>0.16664808612546278</v>
      </c>
      <c r="J62">
        <f t="shared" si="5"/>
        <v>8.8501269302669456</v>
      </c>
      <c r="K62">
        <f t="shared" si="0"/>
        <v>2.6302343760008644</v>
      </c>
      <c r="L62">
        <f t="shared" si="1"/>
        <v>0</v>
      </c>
      <c r="M62">
        <f t="shared" si="2"/>
        <v>0</v>
      </c>
      <c r="N62">
        <f t="shared" si="3"/>
        <v>2.6302343760008644</v>
      </c>
      <c r="O62">
        <f t="shared" si="4"/>
        <v>381.82079647274975</v>
      </c>
    </row>
    <row r="63" spans="7:15" x14ac:dyDescent="0.25">
      <c r="G63">
        <v>61</v>
      </c>
      <c r="H63">
        <v>0.39599444321068478</v>
      </c>
      <c r="I63">
        <v>0.43894531688043281</v>
      </c>
      <c r="J63">
        <f t="shared" si="5"/>
        <v>8.5238944210030105</v>
      </c>
      <c r="K63">
        <f t="shared" si="0"/>
        <v>2.5810770791760413</v>
      </c>
      <c r="L63">
        <f t="shared" si="1"/>
        <v>0</v>
      </c>
      <c r="M63">
        <f t="shared" si="2"/>
        <v>0</v>
      </c>
      <c r="N63">
        <f t="shared" si="3"/>
        <v>2.5810770791760413</v>
      </c>
      <c r="O63">
        <f t="shared" si="4"/>
        <v>374.45091085228262</v>
      </c>
    </row>
    <row r="64" spans="7:15" x14ac:dyDescent="0.25">
      <c r="G64">
        <v>62</v>
      </c>
      <c r="H64">
        <v>7.4982506669254434E-3</v>
      </c>
      <c r="I64">
        <v>0.52680533528371731</v>
      </c>
      <c r="J64">
        <f t="shared" si="5"/>
        <v>1.1424667626715834</v>
      </c>
      <c r="K64">
        <f t="shared" si="0"/>
        <v>-2.0128672859377854</v>
      </c>
      <c r="L64">
        <f t="shared" si="1"/>
        <v>0</v>
      </c>
      <c r="M64">
        <f t="shared" si="2"/>
        <v>0</v>
      </c>
      <c r="N64">
        <f t="shared" si="3"/>
        <v>-2.0128672859377854</v>
      </c>
      <c r="O64">
        <f t="shared" si="4"/>
        <v>9.7835123256772398E-3</v>
      </c>
    </row>
    <row r="65" spans="7:15" x14ac:dyDescent="0.25">
      <c r="G65">
        <v>63</v>
      </c>
      <c r="H65">
        <v>0.66958240776120659</v>
      </c>
      <c r="I65">
        <v>0.81819528685772214</v>
      </c>
      <c r="J65">
        <f t="shared" si="5"/>
        <v>13.722065747462926</v>
      </c>
      <c r="K65">
        <f t="shared" si="0"/>
        <v>3.1893835938094854</v>
      </c>
      <c r="L65">
        <f t="shared" si="1"/>
        <v>3.8995092359359615</v>
      </c>
      <c r="M65">
        <f t="shared" si="2"/>
        <v>0</v>
      </c>
      <c r="N65">
        <f t="shared" si="3"/>
        <v>3.9768509951062385</v>
      </c>
      <c r="O65">
        <f t="shared" si="4"/>
        <v>10526.316860927875</v>
      </c>
    </row>
    <row r="66" spans="7:15" x14ac:dyDescent="0.25">
      <c r="G66">
        <v>64</v>
      </c>
      <c r="H66">
        <v>0.41364825617664869</v>
      </c>
      <c r="I66">
        <v>0.94726336972644753</v>
      </c>
      <c r="J66">
        <f t="shared" si="5"/>
        <v>8.8593168673563252</v>
      </c>
      <c r="K66">
        <f t="shared" si="0"/>
        <v>2.6315893620330124</v>
      </c>
      <c r="L66">
        <f t="shared" si="1"/>
        <v>0</v>
      </c>
      <c r="M66">
        <f t="shared" si="2"/>
        <v>0</v>
      </c>
      <c r="N66">
        <f t="shared" si="3"/>
        <v>2.6315893620330124</v>
      </c>
      <c r="O66">
        <f t="shared" si="4"/>
        <v>515.86174301073993</v>
      </c>
    </row>
    <row r="67" spans="7:15" x14ac:dyDescent="0.25">
      <c r="G67">
        <v>65</v>
      </c>
      <c r="H67">
        <v>0.35734502491256559</v>
      </c>
      <c r="I67">
        <v>0.95065698392424602</v>
      </c>
      <c r="J67">
        <f t="shared" si="5"/>
        <v>7.789555473338746</v>
      </c>
      <c r="K67">
        <f t="shared" ref="K67:K130" si="6">$E$7+$D$8*LOG10(J67-$D$6)</f>
        <v>2.4621401414149302</v>
      </c>
      <c r="L67">
        <f t="shared" ref="L67:L130" si="7">IF(J67&gt;=$D$14,$E$15+$D$16*LOG10(J67-$D$14), 0)</f>
        <v>0</v>
      </c>
      <c r="M67">
        <f t="shared" ref="M67:M130" si="8">IF(J67&gt;=$D$22,$E$23+$D$24*LOG10(J67-$D$22), 0)</f>
        <v>0</v>
      </c>
      <c r="N67">
        <f t="shared" ref="N67:N130" si="9">IF(J67&lt;$D$14,K67,IF(AND(J67&gt;=$D$14,J67&lt;$D$22),LOG10(10^K67+10^L67),LOG10(10^K67+10^L67+10^M67)))</f>
        <v>2.4621401414149302</v>
      </c>
      <c r="O67">
        <f t="shared" ref="O67:O130" si="10">10^(N67+_xlfn.NORM.INV(I67, 0, $D$26))</f>
        <v>350.51209622475409</v>
      </c>
    </row>
    <row r="68" spans="7:15" x14ac:dyDescent="0.25">
      <c r="G68">
        <v>66</v>
      </c>
      <c r="H68">
        <v>0.67470996234028902</v>
      </c>
      <c r="I68">
        <v>0.53730585160871558</v>
      </c>
      <c r="J68">
        <f t="shared" ref="J68:J131" si="11">$D$6 + H68*(20-$D$6)</f>
        <v>13.819489284465492</v>
      </c>
      <c r="K68">
        <f t="shared" si="6"/>
        <v>3.1982184951391694</v>
      </c>
      <c r="L68">
        <f t="shared" si="7"/>
        <v>3.9182487328089985</v>
      </c>
      <c r="M68">
        <f t="shared" si="8"/>
        <v>0</v>
      </c>
      <c r="N68">
        <f t="shared" si="9"/>
        <v>3.9939900998426201</v>
      </c>
      <c r="O68">
        <f t="shared" si="10"/>
        <v>9969.4805444431258</v>
      </c>
    </row>
    <row r="69" spans="7:15" x14ac:dyDescent="0.25">
      <c r="G69">
        <v>67</v>
      </c>
      <c r="H69">
        <v>0.75725274148855837</v>
      </c>
      <c r="I69">
        <v>0.4822689820167636</v>
      </c>
      <c r="J69">
        <f t="shared" si="11"/>
        <v>15.387802088282609</v>
      </c>
      <c r="K69">
        <f t="shared" si="6"/>
        <v>3.331881779319593</v>
      </c>
      <c r="L69">
        <f t="shared" si="7"/>
        <v>4.1677573178034422</v>
      </c>
      <c r="M69">
        <f t="shared" si="8"/>
        <v>2.9225121758075803</v>
      </c>
      <c r="N69">
        <f t="shared" si="9"/>
        <v>4.2479422274046401</v>
      </c>
      <c r="O69">
        <f t="shared" si="10"/>
        <v>17608.373501656879</v>
      </c>
    </row>
    <row r="70" spans="7:15" x14ac:dyDescent="0.25">
      <c r="G70">
        <v>68</v>
      </c>
      <c r="H70">
        <v>0.57498539008842908</v>
      </c>
      <c r="I70">
        <v>1.7168059213701348E-5</v>
      </c>
      <c r="J70">
        <f t="shared" si="11"/>
        <v>11.924722411680152</v>
      </c>
      <c r="K70">
        <f t="shared" si="6"/>
        <v>3.012990993912017</v>
      </c>
      <c r="L70">
        <f t="shared" si="7"/>
        <v>3.4211946210974116</v>
      </c>
      <c r="M70">
        <f t="shared" si="8"/>
        <v>0</v>
      </c>
      <c r="N70">
        <f t="shared" si="9"/>
        <v>3.5644148614044124</v>
      </c>
      <c r="O70">
        <f t="shared" si="10"/>
        <v>2276.5850560374288</v>
      </c>
    </row>
    <row r="71" spans="7:15" x14ac:dyDescent="0.25">
      <c r="G71">
        <v>69</v>
      </c>
      <c r="H71">
        <v>0.95204731658361863</v>
      </c>
      <c r="I71">
        <v>0.68551449902403128</v>
      </c>
      <c r="J71">
        <f t="shared" si="11"/>
        <v>19.088899015088753</v>
      </c>
      <c r="K71">
        <f t="shared" si="6"/>
        <v>3.5969955899654926</v>
      </c>
      <c r="L71">
        <f t="shared" si="7"/>
        <v>4.5470137229743832</v>
      </c>
      <c r="M71">
        <f t="shared" si="8"/>
        <v>4.6309158989136385</v>
      </c>
      <c r="N71">
        <f t="shared" si="9"/>
        <v>4.9134950918401818</v>
      </c>
      <c r="O71">
        <f t="shared" si="10"/>
        <v>86627.119945573562</v>
      </c>
    </row>
    <row r="72" spans="7:15" x14ac:dyDescent="0.25">
      <c r="G72">
        <v>70</v>
      </c>
      <c r="H72">
        <v>0.12509989147409295</v>
      </c>
      <c r="I72">
        <v>0.44672126451432925</v>
      </c>
      <c r="J72">
        <f t="shared" si="11"/>
        <v>3.3768979380077662</v>
      </c>
      <c r="K72">
        <f t="shared" si="6"/>
        <v>1.2465913223843526</v>
      </c>
      <c r="L72">
        <f t="shared" si="7"/>
        <v>0</v>
      </c>
      <c r="M72">
        <f t="shared" si="8"/>
        <v>0</v>
      </c>
      <c r="N72">
        <f t="shared" si="9"/>
        <v>1.2465913223843526</v>
      </c>
      <c r="O72">
        <f t="shared" si="10"/>
        <v>17.373761233595815</v>
      </c>
    </row>
    <row r="73" spans="7:15" x14ac:dyDescent="0.25">
      <c r="G73">
        <v>71</v>
      </c>
      <c r="H73">
        <v>0.93876592366808043</v>
      </c>
      <c r="I73">
        <v>0.87509794389141182</v>
      </c>
      <c r="J73">
        <f t="shared" si="11"/>
        <v>18.836552549693529</v>
      </c>
      <c r="K73">
        <f t="shared" si="6"/>
        <v>3.580725679154825</v>
      </c>
      <c r="L73">
        <f t="shared" si="7"/>
        <v>4.5265922722514551</v>
      </c>
      <c r="M73">
        <f t="shared" si="8"/>
        <v>4.5847149587813343</v>
      </c>
      <c r="N73">
        <f t="shared" si="9"/>
        <v>4.8800230036517878</v>
      </c>
      <c r="O73">
        <f t="shared" si="10"/>
        <v>86609.24822130047</v>
      </c>
    </row>
    <row r="74" spans="7:15" x14ac:dyDescent="0.25">
      <c r="G74">
        <v>72</v>
      </c>
      <c r="H74">
        <v>0.50457304829827843</v>
      </c>
      <c r="I74">
        <v>0.81796142740662636</v>
      </c>
      <c r="J74">
        <f t="shared" si="11"/>
        <v>10.586887917667291</v>
      </c>
      <c r="K74">
        <f t="shared" si="6"/>
        <v>2.8617036319377536</v>
      </c>
      <c r="L74">
        <f t="shared" si="7"/>
        <v>2.5597870203438591</v>
      </c>
      <c r="M74">
        <f t="shared" si="8"/>
        <v>0</v>
      </c>
      <c r="N74">
        <f t="shared" si="9"/>
        <v>3.037499553419384</v>
      </c>
      <c r="O74">
        <f t="shared" si="10"/>
        <v>1210.2657166579654</v>
      </c>
    </row>
    <row r="75" spans="7:15" x14ac:dyDescent="0.25">
      <c r="G75">
        <v>73</v>
      </c>
      <c r="H75">
        <v>0.22277153571574937</v>
      </c>
      <c r="I75">
        <v>0.17420235369156989</v>
      </c>
      <c r="J75">
        <f t="shared" si="11"/>
        <v>5.2326591785992385</v>
      </c>
      <c r="K75">
        <f t="shared" si="6"/>
        <v>1.9148653645494791</v>
      </c>
      <c r="L75">
        <f t="shared" si="7"/>
        <v>0</v>
      </c>
      <c r="M75">
        <f t="shared" si="8"/>
        <v>0</v>
      </c>
      <c r="N75">
        <f t="shared" si="9"/>
        <v>1.9148653645494791</v>
      </c>
      <c r="O75">
        <f t="shared" si="10"/>
        <v>73.787187718676932</v>
      </c>
    </row>
    <row r="76" spans="7:15" x14ac:dyDescent="0.25">
      <c r="G76">
        <v>74</v>
      </c>
      <c r="H76">
        <v>0.29631252159123933</v>
      </c>
      <c r="I76">
        <v>0.94184436125740545</v>
      </c>
      <c r="J76">
        <f t="shared" si="11"/>
        <v>6.6299379102335472</v>
      </c>
      <c r="K76">
        <f t="shared" si="6"/>
        <v>2.2452395127083147</v>
      </c>
      <c r="L76">
        <f t="shared" si="7"/>
        <v>0</v>
      </c>
      <c r="M76">
        <f t="shared" si="8"/>
        <v>0</v>
      </c>
      <c r="N76">
        <f t="shared" si="9"/>
        <v>2.2452395127083147</v>
      </c>
      <c r="O76">
        <f t="shared" si="10"/>
        <v>210.74721125023902</v>
      </c>
    </row>
    <row r="77" spans="7:15" x14ac:dyDescent="0.25">
      <c r="G77">
        <v>75</v>
      </c>
      <c r="H77">
        <v>0.43555536698595576</v>
      </c>
      <c r="I77">
        <v>0.95915401211560847</v>
      </c>
      <c r="J77">
        <f t="shared" si="11"/>
        <v>9.2755519727331599</v>
      </c>
      <c r="K77">
        <f t="shared" si="6"/>
        <v>2.6913551533721409</v>
      </c>
      <c r="L77">
        <f t="shared" si="7"/>
        <v>0</v>
      </c>
      <c r="M77">
        <f t="shared" si="8"/>
        <v>0</v>
      </c>
      <c r="N77">
        <f t="shared" si="9"/>
        <v>2.6913551533721409</v>
      </c>
      <c r="O77">
        <f t="shared" si="10"/>
        <v>600.34757150002508</v>
      </c>
    </row>
    <row r="78" spans="7:15" x14ac:dyDescent="0.25">
      <c r="G78">
        <v>76</v>
      </c>
      <c r="H78">
        <v>0.50379356146519261</v>
      </c>
      <c r="I78">
        <v>0.93285395153738915</v>
      </c>
      <c r="J78">
        <f t="shared" si="11"/>
        <v>10.572077667838659</v>
      </c>
      <c r="K78">
        <f t="shared" si="6"/>
        <v>2.8599131355344145</v>
      </c>
      <c r="L78">
        <f t="shared" si="7"/>
        <v>2.5412497294910974</v>
      </c>
      <c r="M78">
        <f t="shared" si="8"/>
        <v>0</v>
      </c>
      <c r="N78">
        <f t="shared" si="9"/>
        <v>3.0302057796822255</v>
      </c>
      <c r="O78">
        <f t="shared" si="10"/>
        <v>1273.723683978772</v>
      </c>
    </row>
    <row r="79" spans="7:15" x14ac:dyDescent="0.25">
      <c r="G79">
        <v>77</v>
      </c>
      <c r="H79">
        <v>0.50629574861169435</v>
      </c>
      <c r="I79">
        <v>0.61101133642994854</v>
      </c>
      <c r="J79">
        <f t="shared" si="11"/>
        <v>10.619619223622193</v>
      </c>
      <c r="K79">
        <f t="shared" si="6"/>
        <v>2.8656509161835504</v>
      </c>
      <c r="L79">
        <f t="shared" si="7"/>
        <v>2.5991484435672394</v>
      </c>
      <c r="M79">
        <f t="shared" si="8"/>
        <v>0</v>
      </c>
      <c r="N79">
        <f t="shared" si="9"/>
        <v>3.0535589918485737</v>
      </c>
      <c r="O79">
        <f t="shared" si="10"/>
        <v>1168.5755268092917</v>
      </c>
    </row>
    <row r="80" spans="7:15" x14ac:dyDescent="0.25">
      <c r="G80">
        <v>78</v>
      </c>
      <c r="H80">
        <v>0.93701211991402478</v>
      </c>
      <c r="I80">
        <v>0.22783409654961317</v>
      </c>
      <c r="J80">
        <f t="shared" si="11"/>
        <v>18.80323027836647</v>
      </c>
      <c r="K80">
        <f t="shared" si="6"/>
        <v>3.5785600568634166</v>
      </c>
      <c r="L80">
        <f t="shared" si="7"/>
        <v>4.5238521328539161</v>
      </c>
      <c r="M80">
        <f t="shared" si="8"/>
        <v>4.5783881149426398</v>
      </c>
      <c r="N80">
        <f t="shared" si="9"/>
        <v>4.8754984095056875</v>
      </c>
      <c r="O80">
        <f t="shared" si="10"/>
        <v>68896.708447358134</v>
      </c>
    </row>
    <row r="81" spans="7:15" x14ac:dyDescent="0.25">
      <c r="G81">
        <v>79</v>
      </c>
      <c r="H81">
        <v>0.76134928799312407</v>
      </c>
      <c r="I81">
        <v>0.37497284509465501</v>
      </c>
      <c r="J81">
        <f t="shared" si="11"/>
        <v>15.465636471869358</v>
      </c>
      <c r="K81">
        <f t="shared" si="6"/>
        <v>3.338130023683815</v>
      </c>
      <c r="L81">
        <f t="shared" si="7"/>
        <v>4.1781599288763154</v>
      </c>
      <c r="M81">
        <f t="shared" si="8"/>
        <v>3.0551717095171735</v>
      </c>
      <c r="N81">
        <f t="shared" si="9"/>
        <v>4.2644740580381093</v>
      </c>
      <c r="O81">
        <f t="shared" si="10"/>
        <v>17723.051897363857</v>
      </c>
    </row>
    <row r="82" spans="7:15" x14ac:dyDescent="0.25">
      <c r="G82">
        <v>80</v>
      </c>
      <c r="H82">
        <v>0.23261140883134346</v>
      </c>
      <c r="I82">
        <v>0.55705825059976233</v>
      </c>
      <c r="J82">
        <f t="shared" si="11"/>
        <v>5.4196167677955254</v>
      </c>
      <c r="K82">
        <f t="shared" si="6"/>
        <v>1.9649221989347754</v>
      </c>
      <c r="L82">
        <f t="shared" si="7"/>
        <v>0</v>
      </c>
      <c r="M82">
        <f t="shared" si="8"/>
        <v>0</v>
      </c>
      <c r="N82">
        <f t="shared" si="9"/>
        <v>1.9649221989347754</v>
      </c>
      <c r="O82">
        <f t="shared" si="10"/>
        <v>93.777347998930068</v>
      </c>
    </row>
    <row r="83" spans="7:15" x14ac:dyDescent="0.25">
      <c r="G83">
        <v>81</v>
      </c>
      <c r="H83">
        <v>0.54772072030309504</v>
      </c>
      <c r="I83">
        <v>0.97518053928473225</v>
      </c>
      <c r="J83">
        <f t="shared" si="11"/>
        <v>11.406693685758805</v>
      </c>
      <c r="K83">
        <f t="shared" si="6"/>
        <v>2.9567306228781156</v>
      </c>
      <c r="L83">
        <f t="shared" si="7"/>
        <v>3.1937931170883549</v>
      </c>
      <c r="M83">
        <f t="shared" si="8"/>
        <v>0</v>
      </c>
      <c r="N83">
        <f t="shared" si="9"/>
        <v>3.3922702159137241</v>
      </c>
      <c r="O83">
        <f t="shared" si="10"/>
        <v>3093.3092264313095</v>
      </c>
    </row>
    <row r="84" spans="7:15" x14ac:dyDescent="0.25">
      <c r="G84">
        <v>82</v>
      </c>
      <c r="H84">
        <v>0.30217665253979009</v>
      </c>
      <c r="I84">
        <v>0.94913368458248859</v>
      </c>
      <c r="J84">
        <f t="shared" si="11"/>
        <v>6.7413563982560119</v>
      </c>
      <c r="K84">
        <f t="shared" si="6"/>
        <v>2.2679352501539709</v>
      </c>
      <c r="L84">
        <f t="shared" si="7"/>
        <v>0</v>
      </c>
      <c r="M84">
        <f t="shared" si="8"/>
        <v>0</v>
      </c>
      <c r="N84">
        <f t="shared" si="9"/>
        <v>2.2679352501539709</v>
      </c>
      <c r="O84">
        <f t="shared" si="10"/>
        <v>223.74885069722453</v>
      </c>
    </row>
    <row r="85" spans="7:15" x14ac:dyDescent="0.25">
      <c r="G85">
        <v>83</v>
      </c>
      <c r="H85">
        <v>0.89597889854945501</v>
      </c>
      <c r="I85">
        <v>0.40037320937295284</v>
      </c>
      <c r="J85">
        <f t="shared" si="11"/>
        <v>18.023599072439644</v>
      </c>
      <c r="K85">
        <f t="shared" si="6"/>
        <v>3.5267002521290833</v>
      </c>
      <c r="L85">
        <f t="shared" si="7"/>
        <v>4.456596485111894</v>
      </c>
      <c r="M85">
        <f t="shared" si="8"/>
        <v>4.4120086560911371</v>
      </c>
      <c r="N85">
        <f t="shared" si="9"/>
        <v>4.7619360335677898</v>
      </c>
      <c r="O85">
        <f t="shared" si="10"/>
        <v>56145.761024642794</v>
      </c>
    </row>
    <row r="86" spans="7:15" x14ac:dyDescent="0.25">
      <c r="G86">
        <v>84</v>
      </c>
      <c r="H86">
        <v>7.4921975790551376E-2</v>
      </c>
      <c r="I86">
        <v>0.58238978687229148</v>
      </c>
      <c r="J86">
        <f t="shared" si="11"/>
        <v>2.4235175400204763</v>
      </c>
      <c r="K86">
        <f t="shared" si="6"/>
        <v>0.65286409260040901</v>
      </c>
      <c r="L86">
        <f t="shared" si="7"/>
        <v>0</v>
      </c>
      <c r="M86">
        <f t="shared" si="8"/>
        <v>0</v>
      </c>
      <c r="N86">
        <f t="shared" si="9"/>
        <v>0.65286409260040901</v>
      </c>
      <c r="O86">
        <f t="shared" si="10"/>
        <v>4.6053711871965861</v>
      </c>
    </row>
    <row r="87" spans="7:15" x14ac:dyDescent="0.25">
      <c r="G87">
        <v>85</v>
      </c>
      <c r="H87">
        <v>0.16294270368689856</v>
      </c>
      <c r="I87">
        <v>0.31995440028974753</v>
      </c>
      <c r="J87">
        <f t="shared" si="11"/>
        <v>4.0959113700510725</v>
      </c>
      <c r="K87">
        <f t="shared" si="6"/>
        <v>1.552665949820921</v>
      </c>
      <c r="L87">
        <f t="shared" si="7"/>
        <v>0</v>
      </c>
      <c r="M87">
        <f t="shared" si="8"/>
        <v>0</v>
      </c>
      <c r="N87">
        <f t="shared" si="9"/>
        <v>1.552665949820921</v>
      </c>
      <c r="O87">
        <f t="shared" si="10"/>
        <v>33.827868530704343</v>
      </c>
    </row>
    <row r="88" spans="7:15" x14ac:dyDescent="0.25">
      <c r="G88">
        <v>86</v>
      </c>
      <c r="H88">
        <v>0.63020875107454899</v>
      </c>
      <c r="I88">
        <v>9.5830024429096605E-2</v>
      </c>
      <c r="J88">
        <f t="shared" si="11"/>
        <v>12.973966270416431</v>
      </c>
      <c r="K88">
        <f t="shared" si="6"/>
        <v>3.1191979798593232</v>
      </c>
      <c r="L88">
        <f t="shared" si="7"/>
        <v>3.7367710730437032</v>
      </c>
      <c r="M88">
        <f t="shared" si="8"/>
        <v>0</v>
      </c>
      <c r="N88">
        <f t="shared" si="9"/>
        <v>3.8306224797221167</v>
      </c>
      <c r="O88">
        <f t="shared" si="10"/>
        <v>5825.5680648151101</v>
      </c>
    </row>
    <row r="89" spans="7:15" x14ac:dyDescent="0.25">
      <c r="G89">
        <v>87</v>
      </c>
      <c r="H89">
        <v>0.94435851363743406</v>
      </c>
      <c r="I89">
        <v>0.66511338467833381</v>
      </c>
      <c r="J89">
        <f t="shared" si="11"/>
        <v>18.942811759111247</v>
      </c>
      <c r="K89">
        <f t="shared" si="6"/>
        <v>3.5876045677534014</v>
      </c>
      <c r="L89">
        <f t="shared" si="7"/>
        <v>4.5352616175363254</v>
      </c>
      <c r="M89">
        <f t="shared" si="8"/>
        <v>4.6045293283776072</v>
      </c>
      <c r="N89">
        <f t="shared" si="9"/>
        <v>4.894285967112407</v>
      </c>
      <c r="O89">
        <f t="shared" si="10"/>
        <v>82339.633566457327</v>
      </c>
    </row>
    <row r="90" spans="7:15" x14ac:dyDescent="0.25">
      <c r="G90">
        <v>88</v>
      </c>
      <c r="H90">
        <v>0.85709825640796922</v>
      </c>
      <c r="I90">
        <v>0.99600739194318322</v>
      </c>
      <c r="J90">
        <f t="shared" si="11"/>
        <v>17.284866871751415</v>
      </c>
      <c r="K90">
        <f t="shared" si="6"/>
        <v>3.4753211322043374</v>
      </c>
      <c r="L90">
        <f t="shared" si="7"/>
        <v>4.3865439933050894</v>
      </c>
      <c r="M90">
        <f t="shared" si="8"/>
        <v>4.2088309408232272</v>
      </c>
      <c r="N90">
        <f t="shared" si="9"/>
        <v>4.6386351805940702</v>
      </c>
      <c r="O90">
        <f t="shared" si="10"/>
        <v>59056.797721307521</v>
      </c>
    </row>
    <row r="91" spans="7:15" x14ac:dyDescent="0.25">
      <c r="G91">
        <v>89</v>
      </c>
      <c r="H91">
        <v>0.22729170069698812</v>
      </c>
      <c r="I91">
        <v>0.79113315827038777</v>
      </c>
      <c r="J91">
        <f t="shared" si="11"/>
        <v>5.3185423132427747</v>
      </c>
      <c r="K91">
        <f t="shared" si="6"/>
        <v>1.9381290431808484</v>
      </c>
      <c r="L91">
        <f t="shared" si="7"/>
        <v>0</v>
      </c>
      <c r="M91">
        <f t="shared" si="8"/>
        <v>0</v>
      </c>
      <c r="N91">
        <f t="shared" si="9"/>
        <v>1.9381290431808484</v>
      </c>
      <c r="O91">
        <f t="shared" si="10"/>
        <v>95.202205557597239</v>
      </c>
    </row>
    <row r="92" spans="7:15" x14ac:dyDescent="0.25">
      <c r="G92">
        <v>90</v>
      </c>
      <c r="H92">
        <v>0.14067367285836208</v>
      </c>
      <c r="I92">
        <v>0.37251335247239969</v>
      </c>
      <c r="J92">
        <f t="shared" si="11"/>
        <v>3.6727997843088795</v>
      </c>
      <c r="K92">
        <f t="shared" si="6"/>
        <v>1.3824737055663867</v>
      </c>
      <c r="L92">
        <f t="shared" si="7"/>
        <v>0</v>
      </c>
      <c r="M92">
        <f t="shared" si="8"/>
        <v>0</v>
      </c>
      <c r="N92">
        <f t="shared" si="9"/>
        <v>1.3824737055663867</v>
      </c>
      <c r="O92">
        <f t="shared" si="10"/>
        <v>23.238789770027008</v>
      </c>
    </row>
    <row r="93" spans="7:15" x14ac:dyDescent="0.25">
      <c r="G93">
        <v>91</v>
      </c>
      <c r="H93">
        <v>0.5040133320479101</v>
      </c>
      <c r="I93">
        <v>0.84328573276333885</v>
      </c>
      <c r="J93">
        <f t="shared" si="11"/>
        <v>10.576253308910292</v>
      </c>
      <c r="K93">
        <f t="shared" si="6"/>
        <v>2.86041823310677</v>
      </c>
      <c r="L93">
        <f t="shared" si="7"/>
        <v>2.5465243202876566</v>
      </c>
      <c r="M93">
        <f t="shared" si="8"/>
        <v>0</v>
      </c>
      <c r="N93">
        <f t="shared" si="9"/>
        <v>3.0322637163767956</v>
      </c>
      <c r="O93">
        <f t="shared" si="10"/>
        <v>1209.6686258456687</v>
      </c>
    </row>
    <row r="94" spans="7:15" x14ac:dyDescent="0.25">
      <c r="G94">
        <v>92</v>
      </c>
      <c r="H94">
        <v>0.40217921041116711</v>
      </c>
      <c r="I94">
        <v>0.22822747725575265</v>
      </c>
      <c r="J94">
        <f t="shared" si="11"/>
        <v>8.6414049978121739</v>
      </c>
      <c r="K94">
        <f t="shared" si="6"/>
        <v>2.5990251469208534</v>
      </c>
      <c r="L94">
        <f t="shared" si="7"/>
        <v>0</v>
      </c>
      <c r="M94">
        <f t="shared" si="8"/>
        <v>0</v>
      </c>
      <c r="N94">
        <f t="shared" si="9"/>
        <v>2.5990251469208534</v>
      </c>
      <c r="O94">
        <f t="shared" si="10"/>
        <v>364.57786751704361</v>
      </c>
    </row>
    <row r="95" spans="7:15" x14ac:dyDescent="0.25">
      <c r="G95">
        <v>93</v>
      </c>
      <c r="H95">
        <v>0.69788785045845714</v>
      </c>
      <c r="I95">
        <v>0.33392546621002461</v>
      </c>
      <c r="J95">
        <f t="shared" si="11"/>
        <v>14.259869158710686</v>
      </c>
      <c r="K95">
        <f t="shared" si="6"/>
        <v>3.2373345352233072</v>
      </c>
      <c r="L95">
        <f t="shared" si="7"/>
        <v>3.9973916427822056</v>
      </c>
      <c r="M95">
        <f t="shared" si="8"/>
        <v>0</v>
      </c>
      <c r="N95">
        <f t="shared" si="9"/>
        <v>4.0669699243614188</v>
      </c>
      <c r="O95">
        <f t="shared" si="10"/>
        <v>11104.907806148674</v>
      </c>
    </row>
    <row r="96" spans="7:15" x14ac:dyDescent="0.25">
      <c r="G96">
        <v>94</v>
      </c>
      <c r="H96">
        <v>2.447996218969295E-2</v>
      </c>
      <c r="I96">
        <v>0.28017831519582403</v>
      </c>
      <c r="J96">
        <f t="shared" si="11"/>
        <v>1.465119281604166</v>
      </c>
      <c r="K96">
        <f t="shared" si="6"/>
        <v>-0.64259851827875147</v>
      </c>
      <c r="L96">
        <f t="shared" si="7"/>
        <v>0</v>
      </c>
      <c r="M96">
        <f t="shared" si="8"/>
        <v>0</v>
      </c>
      <c r="N96">
        <f t="shared" si="9"/>
        <v>-0.64259851827875147</v>
      </c>
      <c r="O96">
        <f t="shared" si="10"/>
        <v>0.21295404222902622</v>
      </c>
    </row>
    <row r="97" spans="7:15" x14ac:dyDescent="0.25">
      <c r="G97">
        <v>95</v>
      </c>
      <c r="H97">
        <v>0.55029612983648746</v>
      </c>
      <c r="I97">
        <v>0.15348353662920489</v>
      </c>
      <c r="J97">
        <f t="shared" si="11"/>
        <v>11.455626466893262</v>
      </c>
      <c r="K97">
        <f t="shared" si="6"/>
        <v>2.9621633905079596</v>
      </c>
      <c r="L97">
        <f t="shared" si="7"/>
        <v>3.2185932942640574</v>
      </c>
      <c r="M97">
        <f t="shared" si="8"/>
        <v>0</v>
      </c>
      <c r="N97">
        <f t="shared" si="9"/>
        <v>3.4100658178367595</v>
      </c>
      <c r="O97">
        <f t="shared" si="10"/>
        <v>2285.5223972336935</v>
      </c>
    </row>
    <row r="98" spans="7:15" x14ac:dyDescent="0.25">
      <c r="G98">
        <v>96</v>
      </c>
      <c r="H98">
        <v>0.43835963350991991</v>
      </c>
      <c r="I98">
        <v>0.1229976060938377</v>
      </c>
      <c r="J98">
        <f t="shared" si="11"/>
        <v>9.3288330366884775</v>
      </c>
      <c r="K98">
        <f t="shared" si="6"/>
        <v>2.6987876483343194</v>
      </c>
      <c r="L98">
        <f t="shared" si="7"/>
        <v>0</v>
      </c>
      <c r="M98">
        <f t="shared" si="8"/>
        <v>0</v>
      </c>
      <c r="N98">
        <f t="shared" si="9"/>
        <v>2.6987876483343194</v>
      </c>
      <c r="O98">
        <f t="shared" si="10"/>
        <v>437.30159977472351</v>
      </c>
    </row>
    <row r="99" spans="7:15" x14ac:dyDescent="0.25">
      <c r="G99">
        <v>97</v>
      </c>
      <c r="H99">
        <v>9.3198500639711246E-2</v>
      </c>
      <c r="I99">
        <v>0.96630739703130075</v>
      </c>
      <c r="J99">
        <f t="shared" si="11"/>
        <v>2.7707715121545138</v>
      </c>
      <c r="K99">
        <f t="shared" si="6"/>
        <v>0.90566330271400031</v>
      </c>
      <c r="L99">
        <f t="shared" si="7"/>
        <v>0</v>
      </c>
      <c r="M99">
        <f t="shared" si="8"/>
        <v>0</v>
      </c>
      <c r="N99">
        <f t="shared" si="9"/>
        <v>0.90566330271400031</v>
      </c>
      <c r="O99">
        <f t="shared" si="10"/>
        <v>9.9338617158348157</v>
      </c>
    </row>
    <row r="100" spans="7:15" x14ac:dyDescent="0.25">
      <c r="G100">
        <v>98</v>
      </c>
      <c r="H100">
        <v>0.33231760901836938</v>
      </c>
      <c r="I100">
        <v>0.70771737896001563</v>
      </c>
      <c r="J100">
        <f t="shared" si="11"/>
        <v>7.3140345713490182</v>
      </c>
      <c r="K100">
        <f t="shared" si="6"/>
        <v>2.3780484465799834</v>
      </c>
      <c r="L100">
        <f t="shared" si="7"/>
        <v>0</v>
      </c>
      <c r="M100">
        <f t="shared" si="8"/>
        <v>0</v>
      </c>
      <c r="N100">
        <f t="shared" si="9"/>
        <v>2.3780484465799834</v>
      </c>
      <c r="O100">
        <f t="shared" si="10"/>
        <v>254.32255249124472</v>
      </c>
    </row>
    <row r="101" spans="7:15" x14ac:dyDescent="0.25">
      <c r="G101">
        <v>99</v>
      </c>
      <c r="H101">
        <v>0.2465398785396502</v>
      </c>
      <c r="I101">
        <v>0.96405488380398863</v>
      </c>
      <c r="J101">
        <f t="shared" si="11"/>
        <v>5.6842576922533539</v>
      </c>
      <c r="K101">
        <f t="shared" si="6"/>
        <v>2.0322719750483098</v>
      </c>
      <c r="L101">
        <f t="shared" si="7"/>
        <v>0</v>
      </c>
      <c r="M101">
        <f t="shared" si="8"/>
        <v>0</v>
      </c>
      <c r="N101">
        <f t="shared" si="9"/>
        <v>2.0322719750483098</v>
      </c>
      <c r="O101">
        <f t="shared" si="10"/>
        <v>132.51425688669488</v>
      </c>
    </row>
    <row r="102" spans="7:15" x14ac:dyDescent="0.25">
      <c r="G102">
        <v>100</v>
      </c>
      <c r="H102">
        <v>0.9749131734073827</v>
      </c>
      <c r="I102">
        <v>0.92763473127227281</v>
      </c>
      <c r="J102">
        <f t="shared" si="11"/>
        <v>19.523350294740272</v>
      </c>
      <c r="K102">
        <f t="shared" si="6"/>
        <v>3.6244820046497477</v>
      </c>
      <c r="L102">
        <f t="shared" si="7"/>
        <v>4.5808787863525744</v>
      </c>
      <c r="M102">
        <f t="shared" si="8"/>
        <v>4.7041518061461414</v>
      </c>
      <c r="N102">
        <f t="shared" si="9"/>
        <v>4.9680532825949877</v>
      </c>
      <c r="O102">
        <f t="shared" si="10"/>
        <v>109893.81321023853</v>
      </c>
    </row>
    <row r="103" spans="7:15" x14ac:dyDescent="0.25">
      <c r="G103">
        <v>101</v>
      </c>
      <c r="H103">
        <v>0.83617022506468841</v>
      </c>
      <c r="I103">
        <v>0.79908414563036212</v>
      </c>
      <c r="J103">
        <f t="shared" si="11"/>
        <v>16.88723427622908</v>
      </c>
      <c r="K103">
        <f t="shared" si="6"/>
        <v>3.4466920314255467</v>
      </c>
      <c r="L103">
        <f t="shared" si="7"/>
        <v>4.3458347984179371</v>
      </c>
      <c r="M103">
        <f t="shared" si="8"/>
        <v>4.070162348516317</v>
      </c>
      <c r="N103">
        <f t="shared" si="9"/>
        <v>4.5649487201574859</v>
      </c>
      <c r="O103">
        <f t="shared" si="10"/>
        <v>40445.148901181819</v>
      </c>
    </row>
    <row r="104" spans="7:15" x14ac:dyDescent="0.25">
      <c r="G104">
        <v>102</v>
      </c>
      <c r="H104">
        <v>0.6736482517746849</v>
      </c>
      <c r="I104">
        <v>0.58079323459138277</v>
      </c>
      <c r="J104">
        <f t="shared" si="11"/>
        <v>13.799316783719012</v>
      </c>
      <c r="K104">
        <f t="shared" si="6"/>
        <v>3.1963946667015382</v>
      </c>
      <c r="L104">
        <f t="shared" si="7"/>
        <v>3.9144080838469604</v>
      </c>
      <c r="M104">
        <f t="shared" si="8"/>
        <v>0</v>
      </c>
      <c r="N104">
        <f t="shared" si="9"/>
        <v>3.9904728529071889</v>
      </c>
      <c r="O104">
        <f t="shared" si="10"/>
        <v>10015.41643933749</v>
      </c>
    </row>
    <row r="105" spans="7:15" x14ac:dyDescent="0.25">
      <c r="G105">
        <v>103</v>
      </c>
      <c r="H105">
        <v>0.19107072618927967</v>
      </c>
      <c r="I105">
        <v>0.90986412042322684</v>
      </c>
      <c r="J105">
        <f t="shared" si="11"/>
        <v>4.6303437975963142</v>
      </c>
      <c r="K105">
        <f t="shared" si="6"/>
        <v>1.7370905790893849</v>
      </c>
      <c r="L105">
        <f t="shared" si="7"/>
        <v>0</v>
      </c>
      <c r="M105">
        <f t="shared" si="8"/>
        <v>0</v>
      </c>
      <c r="N105">
        <f t="shared" si="9"/>
        <v>1.7370905790893849</v>
      </c>
      <c r="O105">
        <f t="shared" si="10"/>
        <v>63.69223912756496</v>
      </c>
    </row>
    <row r="106" spans="7:15" x14ac:dyDescent="0.25">
      <c r="G106">
        <v>104</v>
      </c>
      <c r="H106">
        <v>0.86924625198987227</v>
      </c>
      <c r="I106">
        <v>0.74867389449785504</v>
      </c>
      <c r="J106">
        <f t="shared" si="11"/>
        <v>17.515678787807573</v>
      </c>
      <c r="K106">
        <f t="shared" si="6"/>
        <v>3.491620372609082</v>
      </c>
      <c r="L106">
        <f t="shared" si="7"/>
        <v>4.4091668001567168</v>
      </c>
      <c r="M106">
        <f t="shared" si="8"/>
        <v>4.2786273999921871</v>
      </c>
      <c r="N106">
        <f t="shared" si="9"/>
        <v>4.6789826377515116</v>
      </c>
      <c r="O106">
        <f t="shared" si="10"/>
        <v>51582.069704986956</v>
      </c>
    </row>
    <row r="107" spans="7:15" x14ac:dyDescent="0.25">
      <c r="G107">
        <v>105</v>
      </c>
      <c r="H107">
        <v>0.69227330499434947</v>
      </c>
      <c r="I107">
        <v>0.42472391994689107</v>
      </c>
      <c r="J107">
        <f t="shared" si="11"/>
        <v>14.153192794892639</v>
      </c>
      <c r="K107">
        <f t="shared" si="6"/>
        <v>3.2279797277389011</v>
      </c>
      <c r="L107">
        <f t="shared" si="7"/>
        <v>3.9789979820550485</v>
      </c>
      <c r="M107">
        <f t="shared" si="8"/>
        <v>0</v>
      </c>
      <c r="N107">
        <f t="shared" si="9"/>
        <v>4.0499262520505166</v>
      </c>
      <c r="O107">
        <f t="shared" si="10"/>
        <v>10975.772649437993</v>
      </c>
    </row>
    <row r="108" spans="7:15" x14ac:dyDescent="0.25">
      <c r="G108">
        <v>106</v>
      </c>
      <c r="H108">
        <v>0.93451127007789514</v>
      </c>
      <c r="I108">
        <v>0.77920803668350336</v>
      </c>
      <c r="J108">
        <f t="shared" si="11"/>
        <v>18.755714131480008</v>
      </c>
      <c r="K108">
        <f t="shared" si="6"/>
        <v>3.5754649499612814</v>
      </c>
      <c r="L108">
        <f t="shared" si="7"/>
        <v>4.5199268166190114</v>
      </c>
      <c r="M108">
        <f t="shared" si="8"/>
        <v>4.5692697585367812</v>
      </c>
      <c r="N108">
        <f t="shared" si="9"/>
        <v>4.8690029883555832</v>
      </c>
      <c r="O108">
        <f t="shared" si="10"/>
        <v>80812.594768339477</v>
      </c>
    </row>
    <row r="109" spans="7:15" x14ac:dyDescent="0.25">
      <c r="G109">
        <v>107</v>
      </c>
      <c r="H109">
        <v>0.15985845197345805</v>
      </c>
      <c r="I109">
        <v>0.82022910187903852</v>
      </c>
      <c r="J109">
        <f t="shared" si="11"/>
        <v>4.0373105874957034</v>
      </c>
      <c r="K109">
        <f t="shared" si="6"/>
        <v>1.5305344427188627</v>
      </c>
      <c r="L109">
        <f t="shared" si="7"/>
        <v>0</v>
      </c>
      <c r="M109">
        <f t="shared" si="8"/>
        <v>0</v>
      </c>
      <c r="N109">
        <f t="shared" si="9"/>
        <v>1.5305344427188627</v>
      </c>
      <c r="O109">
        <f t="shared" si="10"/>
        <v>37.700435727825017</v>
      </c>
    </row>
    <row r="110" spans="7:15" x14ac:dyDescent="0.25">
      <c r="G110">
        <v>108</v>
      </c>
      <c r="H110">
        <v>0.65861161358658105</v>
      </c>
      <c r="I110">
        <v>0.71157211994541758</v>
      </c>
      <c r="J110">
        <f t="shared" si="11"/>
        <v>13.51362065814504</v>
      </c>
      <c r="K110">
        <f t="shared" si="6"/>
        <v>3.1702511933466897</v>
      </c>
      <c r="L110">
        <f t="shared" si="7"/>
        <v>3.8577105245546668</v>
      </c>
      <c r="M110">
        <f t="shared" si="8"/>
        <v>0</v>
      </c>
      <c r="N110">
        <f t="shared" si="9"/>
        <v>3.938831527387948</v>
      </c>
      <c r="O110">
        <f t="shared" si="10"/>
        <v>9262.5527528175662</v>
      </c>
    </row>
    <row r="111" spans="7:15" x14ac:dyDescent="0.25">
      <c r="G111">
        <v>109</v>
      </c>
      <c r="H111">
        <v>0.77427658387326337</v>
      </c>
      <c r="I111">
        <v>0.30809108006447283</v>
      </c>
      <c r="J111">
        <f t="shared" si="11"/>
        <v>15.711255093592005</v>
      </c>
      <c r="K111">
        <f t="shared" si="6"/>
        <v>3.3576291686151771</v>
      </c>
      <c r="L111">
        <f t="shared" si="7"/>
        <v>4.2100415910722289</v>
      </c>
      <c r="M111">
        <f t="shared" si="8"/>
        <v>3.3624156369405358</v>
      </c>
      <c r="N111">
        <f t="shared" si="9"/>
        <v>4.3180987334131702</v>
      </c>
      <c r="O111">
        <f t="shared" si="10"/>
        <v>19635.199022035322</v>
      </c>
    </row>
    <row r="112" spans="7:15" x14ac:dyDescent="0.25">
      <c r="G112">
        <v>110</v>
      </c>
      <c r="H112">
        <v>0.79829916704826576</v>
      </c>
      <c r="I112">
        <v>0.26781557983347826</v>
      </c>
      <c r="J112">
        <f t="shared" si="11"/>
        <v>16.167684173917049</v>
      </c>
      <c r="K112">
        <f t="shared" si="6"/>
        <v>3.3930146375521164</v>
      </c>
      <c r="L112">
        <f t="shared" si="7"/>
        <v>4.2658038404372531</v>
      </c>
      <c r="M112">
        <f t="shared" si="8"/>
        <v>3.721966644467833</v>
      </c>
      <c r="N112">
        <f t="shared" si="9"/>
        <v>4.418061265157176</v>
      </c>
      <c r="O112">
        <f t="shared" si="10"/>
        <v>24383.139093977228</v>
      </c>
    </row>
    <row r="113" spans="7:15" x14ac:dyDescent="0.25">
      <c r="G113">
        <v>111</v>
      </c>
      <c r="H113">
        <v>0.37648481292227409</v>
      </c>
      <c r="I113">
        <v>0.55215396735853817</v>
      </c>
      <c r="J113">
        <f t="shared" si="11"/>
        <v>8.1532114455232083</v>
      </c>
      <c r="K113">
        <f t="shared" si="6"/>
        <v>2.5225660660705596</v>
      </c>
      <c r="L113">
        <f t="shared" si="7"/>
        <v>0</v>
      </c>
      <c r="M113">
        <f t="shared" si="8"/>
        <v>0</v>
      </c>
      <c r="N113">
        <f t="shared" si="9"/>
        <v>2.5225660660705596</v>
      </c>
      <c r="O113">
        <f t="shared" si="10"/>
        <v>338.15929351098407</v>
      </c>
    </row>
    <row r="114" spans="7:15" x14ac:dyDescent="0.25">
      <c r="G114">
        <v>112</v>
      </c>
      <c r="H114">
        <v>0.3465681256277775</v>
      </c>
      <c r="I114">
        <v>0.69501836109038262</v>
      </c>
      <c r="J114">
        <f t="shared" si="11"/>
        <v>7.5847943869277721</v>
      </c>
      <c r="K114">
        <f t="shared" si="6"/>
        <v>2.426675814611905</v>
      </c>
      <c r="L114">
        <f t="shared" si="7"/>
        <v>0</v>
      </c>
      <c r="M114">
        <f t="shared" si="8"/>
        <v>0</v>
      </c>
      <c r="N114">
        <f t="shared" si="9"/>
        <v>2.426675814611905</v>
      </c>
      <c r="O114">
        <f t="shared" si="10"/>
        <v>283.25795044296149</v>
      </c>
    </row>
    <row r="115" spans="7:15" x14ac:dyDescent="0.25">
      <c r="G115">
        <v>113</v>
      </c>
      <c r="H115">
        <v>0.62986133061238259</v>
      </c>
      <c r="I115">
        <v>0.85109462391657864</v>
      </c>
      <c r="J115">
        <f t="shared" si="11"/>
        <v>12.967365281635269</v>
      </c>
      <c r="K115">
        <f t="shared" si="6"/>
        <v>3.1185593580529742</v>
      </c>
      <c r="L115">
        <f t="shared" si="7"/>
        <v>3.7351594771101819</v>
      </c>
      <c r="M115">
        <f t="shared" si="8"/>
        <v>0</v>
      </c>
      <c r="N115">
        <f t="shared" si="9"/>
        <v>3.8292001481023128</v>
      </c>
      <c r="O115">
        <f t="shared" si="10"/>
        <v>7607.7657055445497</v>
      </c>
    </row>
    <row r="116" spans="7:15" x14ac:dyDescent="0.25">
      <c r="G116">
        <v>114</v>
      </c>
      <c r="H116">
        <v>0.41364337310726784</v>
      </c>
      <c r="I116">
        <v>0.27858291289149462</v>
      </c>
      <c r="J116">
        <f t="shared" si="11"/>
        <v>8.85922408903809</v>
      </c>
      <c r="K116">
        <f t="shared" si="6"/>
        <v>2.6315756904972085</v>
      </c>
      <c r="L116">
        <f t="shared" si="7"/>
        <v>0</v>
      </c>
      <c r="M116">
        <f t="shared" si="8"/>
        <v>0</v>
      </c>
      <c r="N116">
        <f t="shared" si="9"/>
        <v>2.6315756904972085</v>
      </c>
      <c r="O116">
        <f t="shared" si="10"/>
        <v>400.15004520896866</v>
      </c>
    </row>
    <row r="117" spans="7:15" x14ac:dyDescent="0.25">
      <c r="G117">
        <v>115</v>
      </c>
      <c r="H117">
        <v>0.35583404967993648</v>
      </c>
      <c r="I117">
        <v>0.41966490706953707</v>
      </c>
      <c r="J117">
        <f t="shared" si="11"/>
        <v>7.7608469439187928</v>
      </c>
      <c r="K117">
        <f t="shared" si="6"/>
        <v>2.4572328432918269</v>
      </c>
      <c r="L117">
        <f t="shared" si="7"/>
        <v>0</v>
      </c>
      <c r="M117">
        <f t="shared" si="8"/>
        <v>0</v>
      </c>
      <c r="N117">
        <f t="shared" si="9"/>
        <v>2.4572328432918269</v>
      </c>
      <c r="O117">
        <f t="shared" si="10"/>
        <v>279.95956061488192</v>
      </c>
    </row>
    <row r="118" spans="7:15" x14ac:dyDescent="0.25">
      <c r="G118">
        <v>116</v>
      </c>
      <c r="H118">
        <v>0.87782212764883194</v>
      </c>
      <c r="I118">
        <v>0.9767801988330479</v>
      </c>
      <c r="J118">
        <f t="shared" si="11"/>
        <v>17.678620425327807</v>
      </c>
      <c r="K118">
        <f t="shared" si="6"/>
        <v>3.5029902321499455</v>
      </c>
      <c r="L118">
        <f t="shared" si="7"/>
        <v>4.4247228322030656</v>
      </c>
      <c r="M118">
        <f t="shared" si="8"/>
        <v>4.3241449005089274</v>
      </c>
      <c r="N118">
        <f t="shared" si="9"/>
        <v>4.706442264635549</v>
      </c>
      <c r="O118">
        <f t="shared" si="10"/>
        <v>63975.110985406718</v>
      </c>
    </row>
    <row r="119" spans="7:15" x14ac:dyDescent="0.25">
      <c r="G119">
        <v>117</v>
      </c>
      <c r="H119">
        <v>0.11329058942835857</v>
      </c>
      <c r="I119">
        <v>0.4952786483586854</v>
      </c>
      <c r="J119">
        <f t="shared" si="11"/>
        <v>3.1525211991388127</v>
      </c>
      <c r="K119">
        <f t="shared" si="6"/>
        <v>1.1317563981521006</v>
      </c>
      <c r="L119">
        <f t="shared" si="7"/>
        <v>0</v>
      </c>
      <c r="M119">
        <f t="shared" si="8"/>
        <v>0</v>
      </c>
      <c r="N119">
        <f t="shared" si="9"/>
        <v>1.1317563981521006</v>
      </c>
      <c r="O119">
        <f t="shared" si="10"/>
        <v>13.525852610477367</v>
      </c>
    </row>
    <row r="120" spans="7:15" x14ac:dyDescent="0.25">
      <c r="G120">
        <v>118</v>
      </c>
      <c r="H120">
        <v>9.9073444523694598E-2</v>
      </c>
      <c r="I120">
        <v>0.15725376508392919</v>
      </c>
      <c r="J120">
        <f t="shared" si="11"/>
        <v>2.8823954459501975</v>
      </c>
      <c r="K120">
        <f t="shared" si="6"/>
        <v>0.97645886797777093</v>
      </c>
      <c r="L120">
        <f t="shared" si="7"/>
        <v>0</v>
      </c>
      <c r="M120">
        <f t="shared" si="8"/>
        <v>0</v>
      </c>
      <c r="N120">
        <f t="shared" si="9"/>
        <v>0.97645886797777093</v>
      </c>
      <c r="O120">
        <f t="shared" si="10"/>
        <v>8.436618783902416</v>
      </c>
    </row>
    <row r="121" spans="7:15" x14ac:dyDescent="0.25">
      <c r="G121">
        <v>119</v>
      </c>
      <c r="H121">
        <v>0.96763382197045456</v>
      </c>
      <c r="I121">
        <v>9.9699880664083085E-2</v>
      </c>
      <c r="J121">
        <f t="shared" si="11"/>
        <v>19.385042617438636</v>
      </c>
      <c r="K121">
        <f t="shared" si="6"/>
        <v>3.6158022744704317</v>
      </c>
      <c r="L121">
        <f t="shared" si="7"/>
        <v>4.5702684245430252</v>
      </c>
      <c r="M121">
        <f t="shared" si="8"/>
        <v>4.6816295133297965</v>
      </c>
      <c r="N121">
        <f t="shared" si="9"/>
        <v>4.9510849398362762</v>
      </c>
      <c r="O121">
        <f t="shared" si="10"/>
        <v>77076.460497905573</v>
      </c>
    </row>
    <row r="122" spans="7:15" x14ac:dyDescent="0.25">
      <c r="G122">
        <v>120</v>
      </c>
      <c r="H122">
        <v>0.37818368318612816</v>
      </c>
      <c r="I122">
        <v>0.67372442407738609</v>
      </c>
      <c r="J122">
        <f t="shared" si="11"/>
        <v>8.1854899805364347</v>
      </c>
      <c r="K122">
        <f t="shared" si="6"/>
        <v>2.5277802670515706</v>
      </c>
      <c r="L122">
        <f t="shared" si="7"/>
        <v>0</v>
      </c>
      <c r="M122">
        <f t="shared" si="8"/>
        <v>0</v>
      </c>
      <c r="N122">
        <f t="shared" si="9"/>
        <v>2.5277802670515706</v>
      </c>
      <c r="O122">
        <f t="shared" si="10"/>
        <v>355.05146842694654</v>
      </c>
    </row>
    <row r="123" spans="7:15" x14ac:dyDescent="0.25">
      <c r="G123">
        <v>121</v>
      </c>
      <c r="H123">
        <v>0.35835584658782127</v>
      </c>
      <c r="I123">
        <v>0.94540226194483956</v>
      </c>
      <c r="J123">
        <f t="shared" si="11"/>
        <v>7.8087610851686042</v>
      </c>
      <c r="K123">
        <f t="shared" si="6"/>
        <v>2.4654114862658392</v>
      </c>
      <c r="L123">
        <f t="shared" si="7"/>
        <v>0</v>
      </c>
      <c r="M123">
        <f t="shared" si="8"/>
        <v>0</v>
      </c>
      <c r="N123">
        <f t="shared" si="9"/>
        <v>2.4654114862658392</v>
      </c>
      <c r="O123">
        <f t="shared" si="10"/>
        <v>351.15792440872156</v>
      </c>
    </row>
    <row r="124" spans="7:15" x14ac:dyDescent="0.25">
      <c r="G124">
        <v>122</v>
      </c>
      <c r="H124">
        <v>0.12556968372665933</v>
      </c>
      <c r="I124">
        <v>0.90824469375206551</v>
      </c>
      <c r="J124">
        <f t="shared" si="11"/>
        <v>3.3858239908065273</v>
      </c>
      <c r="K124">
        <f t="shared" si="6"/>
        <v>1.2509323022663876</v>
      </c>
      <c r="L124">
        <f t="shared" si="7"/>
        <v>0</v>
      </c>
      <c r="M124">
        <f t="shared" si="8"/>
        <v>0</v>
      </c>
      <c r="N124">
        <f t="shared" si="9"/>
        <v>1.2509323022663876</v>
      </c>
      <c r="O124">
        <f t="shared" si="10"/>
        <v>20.769854996404774</v>
      </c>
    </row>
    <row r="125" spans="7:15" x14ac:dyDescent="0.25">
      <c r="G125">
        <v>123</v>
      </c>
      <c r="H125">
        <v>0.40449091934816817</v>
      </c>
      <c r="I125">
        <v>0.66525891815234639</v>
      </c>
      <c r="J125">
        <f t="shared" si="11"/>
        <v>8.6853274676151955</v>
      </c>
      <c r="K125">
        <f t="shared" si="6"/>
        <v>2.6056629047612878</v>
      </c>
      <c r="L125">
        <f t="shared" si="7"/>
        <v>0</v>
      </c>
      <c r="M125">
        <f t="shared" si="8"/>
        <v>0</v>
      </c>
      <c r="N125">
        <f t="shared" si="9"/>
        <v>2.6056629047612878</v>
      </c>
      <c r="O125">
        <f t="shared" si="10"/>
        <v>423.64866830004621</v>
      </c>
    </row>
    <row r="126" spans="7:15" x14ac:dyDescent="0.25">
      <c r="G126">
        <v>124</v>
      </c>
      <c r="H126">
        <v>0.16904135866710346</v>
      </c>
      <c r="I126">
        <v>0.61419568860657137</v>
      </c>
      <c r="J126">
        <f t="shared" si="11"/>
        <v>4.2117858146749656</v>
      </c>
      <c r="K126">
        <f t="shared" si="6"/>
        <v>1.5952207670667671</v>
      </c>
      <c r="L126">
        <f t="shared" si="7"/>
        <v>0</v>
      </c>
      <c r="M126">
        <f t="shared" si="8"/>
        <v>0</v>
      </c>
      <c r="N126">
        <f t="shared" si="9"/>
        <v>1.5952207670667671</v>
      </c>
      <c r="O126">
        <f t="shared" si="10"/>
        <v>40.713115444000969</v>
      </c>
    </row>
    <row r="127" spans="7:15" x14ac:dyDescent="0.25">
      <c r="G127">
        <v>125</v>
      </c>
      <c r="H127">
        <v>0.41470283295037746</v>
      </c>
      <c r="I127">
        <v>0.66216514272260796</v>
      </c>
      <c r="J127">
        <f t="shared" si="11"/>
        <v>8.8793538260571729</v>
      </c>
      <c r="K127">
        <f t="shared" si="6"/>
        <v>2.6345381736469928</v>
      </c>
      <c r="L127">
        <f t="shared" si="7"/>
        <v>0</v>
      </c>
      <c r="M127">
        <f t="shared" si="8"/>
        <v>0</v>
      </c>
      <c r="N127">
        <f t="shared" si="9"/>
        <v>2.6345381736469928</v>
      </c>
      <c r="O127">
        <f t="shared" si="10"/>
        <v>452.33182605315091</v>
      </c>
    </row>
    <row r="128" spans="7:15" x14ac:dyDescent="0.25">
      <c r="G128">
        <v>126</v>
      </c>
      <c r="H128">
        <v>0.51451706838688527</v>
      </c>
      <c r="I128">
        <v>0.43208256428631631</v>
      </c>
      <c r="J128">
        <f t="shared" si="11"/>
        <v>10.77582429935082</v>
      </c>
      <c r="K128">
        <f t="shared" si="6"/>
        <v>2.884305598423643</v>
      </c>
      <c r="L128">
        <f t="shared" si="7"/>
        <v>2.7622047296186296</v>
      </c>
      <c r="M128">
        <f t="shared" si="8"/>
        <v>0</v>
      </c>
      <c r="N128">
        <f t="shared" si="9"/>
        <v>3.1285621475473024</v>
      </c>
      <c r="O128">
        <f t="shared" si="10"/>
        <v>1318.2822934428875</v>
      </c>
    </row>
    <row r="129" spans="7:15" x14ac:dyDescent="0.25">
      <c r="G129">
        <v>127</v>
      </c>
      <c r="H129">
        <v>0.18984571434829889</v>
      </c>
      <c r="I129">
        <v>0.35621147609461257</v>
      </c>
      <c r="J129">
        <f t="shared" si="11"/>
        <v>4.6070685726176794</v>
      </c>
      <c r="K129">
        <f t="shared" si="6"/>
        <v>1.72964162829173</v>
      </c>
      <c r="L129">
        <f t="shared" si="7"/>
        <v>0</v>
      </c>
      <c r="M129">
        <f t="shared" si="8"/>
        <v>0</v>
      </c>
      <c r="N129">
        <f t="shared" si="9"/>
        <v>1.72964162829173</v>
      </c>
      <c r="O129">
        <f t="shared" si="10"/>
        <v>51.429396827937971</v>
      </c>
    </row>
    <row r="130" spans="7:15" x14ac:dyDescent="0.25">
      <c r="G130">
        <v>128</v>
      </c>
      <c r="H130">
        <v>2.8806458842701832E-2</v>
      </c>
      <c r="I130">
        <v>0.21895167301824692</v>
      </c>
      <c r="J130">
        <f t="shared" si="11"/>
        <v>1.5473227180113347</v>
      </c>
      <c r="K130">
        <f t="shared" si="6"/>
        <v>-0.45412083464024622</v>
      </c>
      <c r="L130">
        <f t="shared" si="7"/>
        <v>0</v>
      </c>
      <c r="M130">
        <f t="shared" si="8"/>
        <v>0</v>
      </c>
      <c r="N130">
        <f t="shared" si="9"/>
        <v>-0.45412083464024622</v>
      </c>
      <c r="O130">
        <f t="shared" si="10"/>
        <v>0.32143431290193192</v>
      </c>
    </row>
    <row r="131" spans="7:15" x14ac:dyDescent="0.25">
      <c r="G131">
        <v>129</v>
      </c>
      <c r="H131">
        <v>0.78720883368055028</v>
      </c>
      <c r="I131">
        <v>0.93438115815970813</v>
      </c>
      <c r="J131">
        <f t="shared" si="11"/>
        <v>15.956967839930455</v>
      </c>
      <c r="K131">
        <f t="shared" ref="K131:K194" si="12">$E$7+$D$8*LOG10(J131-$D$6)</f>
        <v>3.3768127249397857</v>
      </c>
      <c r="L131">
        <f t="shared" ref="L131:L194" si="13">IF(J131&gt;=$D$14,$E$15+$D$16*LOG10(J131-$D$14), 0)</f>
        <v>4.2405920651887108</v>
      </c>
      <c r="M131">
        <f t="shared" ref="M131:M194" si="14">IF(J131&gt;=$D$22,$E$23+$D$24*LOG10(J131-$D$22), 0)</f>
        <v>3.577631799202778</v>
      </c>
      <c r="N131">
        <f t="shared" ref="N131:N194" si="15">IF(J131&lt;$D$14,K131,IF(AND(J131&gt;=$D$14,J131&lt;$D$22),LOG10(10^K131+10^L131),LOG10(10^K131+10^L131+10^M131)))</f>
        <v>4.3722531914234857</v>
      </c>
      <c r="O131">
        <f t="shared" ref="O131:O194" si="16">10^(N131+_xlfn.NORM.INV(I131, 0, $D$26))</f>
        <v>28035.941683242083</v>
      </c>
    </row>
    <row r="132" spans="7:15" x14ac:dyDescent="0.25">
      <c r="G132">
        <v>130</v>
      </c>
      <c r="H132">
        <v>0.39033059201522557</v>
      </c>
      <c r="I132">
        <v>0.63400463355751757</v>
      </c>
      <c r="J132">
        <f t="shared" ref="J132:J195" si="17">$D$6 + H132*(20-$D$6)</f>
        <v>8.4162812482892857</v>
      </c>
      <c r="K132">
        <f t="shared" si="12"/>
        <v>2.5643930753094049</v>
      </c>
      <c r="L132">
        <f t="shared" si="13"/>
        <v>0</v>
      </c>
      <c r="M132">
        <f t="shared" si="14"/>
        <v>0</v>
      </c>
      <c r="N132">
        <f t="shared" si="15"/>
        <v>2.5643930753094049</v>
      </c>
      <c r="O132">
        <f t="shared" si="16"/>
        <v>381.51973361066638</v>
      </c>
    </row>
    <row r="133" spans="7:15" x14ac:dyDescent="0.25">
      <c r="G133">
        <v>131</v>
      </c>
      <c r="H133">
        <v>0.22525116629236774</v>
      </c>
      <c r="I133">
        <v>0.77231557015648866</v>
      </c>
      <c r="J133">
        <f t="shared" si="17"/>
        <v>5.2797721595549874</v>
      </c>
      <c r="K133">
        <f t="shared" si="12"/>
        <v>1.9276849634098234</v>
      </c>
      <c r="L133">
        <f t="shared" si="13"/>
        <v>0</v>
      </c>
      <c r="M133">
        <f t="shared" si="14"/>
        <v>0</v>
      </c>
      <c r="N133">
        <f t="shared" si="15"/>
        <v>1.9276849634098234</v>
      </c>
      <c r="O133">
        <f t="shared" si="16"/>
        <v>92.259198966345821</v>
      </c>
    </row>
    <row r="134" spans="7:15" x14ac:dyDescent="0.25">
      <c r="G134">
        <v>132</v>
      </c>
      <c r="H134">
        <v>1.8651987701355788E-2</v>
      </c>
      <c r="I134">
        <v>0.98861106328102411</v>
      </c>
      <c r="J134">
        <f t="shared" si="17"/>
        <v>1.35438776632576</v>
      </c>
      <c r="K134">
        <f t="shared" si="12"/>
        <v>-0.95749351099479152</v>
      </c>
      <c r="L134">
        <f t="shared" si="13"/>
        <v>0</v>
      </c>
      <c r="M134">
        <f t="shared" si="14"/>
        <v>0</v>
      </c>
      <c r="N134">
        <f t="shared" si="15"/>
        <v>-0.95749351099479152</v>
      </c>
      <c r="O134">
        <f t="shared" si="16"/>
        <v>0.14333870727000894</v>
      </c>
    </row>
    <row r="135" spans="7:15" x14ac:dyDescent="0.25">
      <c r="G135">
        <v>133</v>
      </c>
      <c r="H135">
        <v>0.25803617127368206</v>
      </c>
      <c r="I135">
        <v>0.8421149066996152</v>
      </c>
      <c r="J135">
        <f t="shared" si="17"/>
        <v>5.9026872541999591</v>
      </c>
      <c r="K135">
        <f t="shared" si="12"/>
        <v>2.0850544058389611</v>
      </c>
      <c r="L135">
        <f t="shared" si="13"/>
        <v>0</v>
      </c>
      <c r="M135">
        <f t="shared" si="14"/>
        <v>0</v>
      </c>
      <c r="N135">
        <f t="shared" si="15"/>
        <v>2.0850544058389611</v>
      </c>
      <c r="O135">
        <f t="shared" si="16"/>
        <v>136.525508653641</v>
      </c>
    </row>
    <row r="136" spans="7:15" x14ac:dyDescent="0.25">
      <c r="G136">
        <v>134</v>
      </c>
      <c r="H136">
        <v>0.83876102074762138</v>
      </c>
      <c r="I136">
        <v>0.29525536444752853</v>
      </c>
      <c r="J136">
        <f t="shared" si="17"/>
        <v>16.936459394204807</v>
      </c>
      <c r="K136">
        <f t="shared" si="12"/>
        <v>3.450274806679603</v>
      </c>
      <c r="L136">
        <f t="shared" si="13"/>
        <v>4.351000095179181</v>
      </c>
      <c r="M136">
        <f t="shared" si="14"/>
        <v>4.0888372554239636</v>
      </c>
      <c r="N136">
        <f t="shared" si="15"/>
        <v>4.5743644994072552</v>
      </c>
      <c r="O136">
        <f t="shared" si="16"/>
        <v>35274.404937987136</v>
      </c>
    </row>
    <row r="137" spans="7:15" x14ac:dyDescent="0.25">
      <c r="G137">
        <v>135</v>
      </c>
      <c r="H137">
        <v>0.34504865399030604</v>
      </c>
      <c r="I137">
        <v>0.9005138212590702</v>
      </c>
      <c r="J137">
        <f t="shared" si="17"/>
        <v>7.5559244258158147</v>
      </c>
      <c r="K137">
        <f t="shared" si="12"/>
        <v>2.4215870681366338</v>
      </c>
      <c r="L137">
        <f t="shared" si="13"/>
        <v>0</v>
      </c>
      <c r="M137">
        <f t="shared" si="14"/>
        <v>0</v>
      </c>
      <c r="N137">
        <f t="shared" si="15"/>
        <v>2.4215870681366338</v>
      </c>
      <c r="O137">
        <f t="shared" si="16"/>
        <v>306.06333849439841</v>
      </c>
    </row>
    <row r="138" spans="7:15" x14ac:dyDescent="0.25">
      <c r="G138">
        <v>136</v>
      </c>
      <c r="H138">
        <v>0.74431451509043101</v>
      </c>
      <c r="I138">
        <v>0.68473198176010719</v>
      </c>
      <c r="J138">
        <f t="shared" si="17"/>
        <v>15.14197578671819</v>
      </c>
      <c r="K138">
        <f t="shared" si="12"/>
        <v>3.3119234702201612</v>
      </c>
      <c r="L138">
        <f t="shared" si="13"/>
        <v>4.1338870340560874</v>
      </c>
      <c r="M138">
        <f t="shared" si="14"/>
        <v>2.1937310904282272</v>
      </c>
      <c r="N138">
        <f t="shared" si="15"/>
        <v>4.1991495051466918</v>
      </c>
      <c r="O138">
        <f t="shared" si="16"/>
        <v>16718.531609993737</v>
      </c>
    </row>
    <row r="139" spans="7:15" x14ac:dyDescent="0.25">
      <c r="G139">
        <v>137</v>
      </c>
      <c r="H139">
        <v>6.7645637947351456E-2</v>
      </c>
      <c r="I139">
        <v>0.83291362220949783</v>
      </c>
      <c r="J139">
        <f t="shared" si="17"/>
        <v>2.2852671209996775</v>
      </c>
      <c r="K139">
        <f t="shared" si="12"/>
        <v>0.53454562614376933</v>
      </c>
      <c r="L139">
        <f t="shared" si="13"/>
        <v>0</v>
      </c>
      <c r="M139">
        <f t="shared" si="14"/>
        <v>0</v>
      </c>
      <c r="N139">
        <f t="shared" si="15"/>
        <v>0.53454562614376933</v>
      </c>
      <c r="O139">
        <f t="shared" si="16"/>
        <v>3.8267736975743194</v>
      </c>
    </row>
    <row r="140" spans="7:15" x14ac:dyDescent="0.25">
      <c r="G140">
        <v>138</v>
      </c>
      <c r="H140">
        <v>0.59642747881362446</v>
      </c>
      <c r="I140">
        <v>0.26918936435943286</v>
      </c>
      <c r="J140">
        <f t="shared" si="17"/>
        <v>12.332122097458864</v>
      </c>
      <c r="K140">
        <f t="shared" si="12"/>
        <v>3.0553932191065623</v>
      </c>
      <c r="L140">
        <f t="shared" si="13"/>
        <v>3.5604445328774341</v>
      </c>
      <c r="M140">
        <f t="shared" si="14"/>
        <v>0</v>
      </c>
      <c r="N140">
        <f t="shared" si="15"/>
        <v>3.6785673385479063</v>
      </c>
      <c r="O140">
        <f t="shared" si="16"/>
        <v>4444.3066088616024</v>
      </c>
    </row>
    <row r="141" spans="7:15" x14ac:dyDescent="0.25">
      <c r="G141">
        <v>139</v>
      </c>
      <c r="H141">
        <v>0.32993352383786578</v>
      </c>
      <c r="I141">
        <v>0.40428650059398274</v>
      </c>
      <c r="J141">
        <f t="shared" si="17"/>
        <v>7.2687369529194497</v>
      </c>
      <c r="K141">
        <f t="shared" si="12"/>
        <v>2.3697100226012742</v>
      </c>
      <c r="L141">
        <f t="shared" si="13"/>
        <v>0</v>
      </c>
      <c r="M141">
        <f t="shared" si="14"/>
        <v>0</v>
      </c>
      <c r="N141">
        <f t="shared" si="15"/>
        <v>2.3697100226012742</v>
      </c>
      <c r="O141">
        <f t="shared" si="16"/>
        <v>227.82252160973277</v>
      </c>
    </row>
    <row r="142" spans="7:15" x14ac:dyDescent="0.25">
      <c r="G142">
        <v>140</v>
      </c>
      <c r="H142">
        <v>0.57101533181710284</v>
      </c>
      <c r="I142">
        <v>5.4311561675359332E-2</v>
      </c>
      <c r="J142">
        <f t="shared" si="17"/>
        <v>11.849291304524954</v>
      </c>
      <c r="K142">
        <f t="shared" si="12"/>
        <v>3.0049668858893255</v>
      </c>
      <c r="L142">
        <f t="shared" si="13"/>
        <v>3.3921987856381191</v>
      </c>
      <c r="M142">
        <f t="shared" si="14"/>
        <v>0</v>
      </c>
      <c r="N142">
        <f t="shared" si="15"/>
        <v>3.5414133166842903</v>
      </c>
      <c r="O142">
        <f t="shared" si="16"/>
        <v>2891.9626781730299</v>
      </c>
    </row>
    <row r="143" spans="7:15" x14ac:dyDescent="0.25">
      <c r="G143">
        <v>141</v>
      </c>
      <c r="H143">
        <v>0.84607289713336131</v>
      </c>
      <c r="I143">
        <v>0.99387730564612065</v>
      </c>
      <c r="J143">
        <f t="shared" si="17"/>
        <v>17.075385045533864</v>
      </c>
      <c r="K143">
        <f t="shared" si="12"/>
        <v>3.4603269230940477</v>
      </c>
      <c r="L143">
        <f t="shared" si="13"/>
        <v>4.3653825210487538</v>
      </c>
      <c r="M143">
        <f t="shared" si="14"/>
        <v>4.1390880370274692</v>
      </c>
      <c r="N143">
        <f t="shared" si="15"/>
        <v>4.6004877920741665</v>
      </c>
      <c r="O143">
        <f t="shared" si="16"/>
        <v>53178.6651655065</v>
      </c>
    </row>
    <row r="144" spans="7:15" x14ac:dyDescent="0.25">
      <c r="G144">
        <v>142</v>
      </c>
      <c r="H144">
        <v>0.92436905168972994</v>
      </c>
      <c r="I144">
        <v>0.67224452969612203</v>
      </c>
      <c r="J144">
        <f t="shared" si="17"/>
        <v>18.563011982104868</v>
      </c>
      <c r="K144">
        <f t="shared" si="12"/>
        <v>3.5628272256645608</v>
      </c>
      <c r="L144">
        <f t="shared" si="13"/>
        <v>4.5037862299405731</v>
      </c>
      <c r="M144">
        <f t="shared" si="14"/>
        <v>4.5310680987047256</v>
      </c>
      <c r="N144">
        <f t="shared" si="15"/>
        <v>4.8421223809271821</v>
      </c>
      <c r="O144">
        <f t="shared" si="16"/>
        <v>73186.057920650215</v>
      </c>
    </row>
    <row r="145" spans="7:15" x14ac:dyDescent="0.25">
      <c r="G145">
        <v>143</v>
      </c>
      <c r="H145">
        <v>0.97525574055592568</v>
      </c>
      <c r="I145">
        <v>0.79537042795288104</v>
      </c>
      <c r="J145">
        <f t="shared" si="17"/>
        <v>19.529859070562587</v>
      </c>
      <c r="K145">
        <f t="shared" si="12"/>
        <v>3.6248888754536277</v>
      </c>
      <c r="L145">
        <f t="shared" si="13"/>
        <v>4.581374307243621</v>
      </c>
      <c r="M145">
        <f t="shared" si="14"/>
        <v>4.705194669970501</v>
      </c>
      <c r="N145">
        <f t="shared" si="15"/>
        <v>4.9688429705640971</v>
      </c>
      <c r="O145">
        <f t="shared" si="16"/>
        <v>102353.54158511378</v>
      </c>
    </row>
    <row r="146" spans="7:15" x14ac:dyDescent="0.25">
      <c r="G146">
        <v>144</v>
      </c>
      <c r="H146">
        <v>0.95997674559381696</v>
      </c>
      <c r="I146">
        <v>0.77809915964507537</v>
      </c>
      <c r="J146">
        <f t="shared" si="17"/>
        <v>19.239558166282521</v>
      </c>
      <c r="K146">
        <f t="shared" si="12"/>
        <v>3.6066014021505195</v>
      </c>
      <c r="L146">
        <f t="shared" si="13"/>
        <v>4.5589373989840949</v>
      </c>
      <c r="M146">
        <f t="shared" si="14"/>
        <v>4.6571586352000773</v>
      </c>
      <c r="N146">
        <f t="shared" si="15"/>
        <v>4.9328382565090321</v>
      </c>
      <c r="O146">
        <f t="shared" si="16"/>
        <v>93568.080793414294</v>
      </c>
    </row>
    <row r="147" spans="7:15" x14ac:dyDescent="0.25">
      <c r="G147">
        <v>145</v>
      </c>
      <c r="H147">
        <v>0.67976792924824481</v>
      </c>
      <c r="I147">
        <v>0.2954386964180532</v>
      </c>
      <c r="J147">
        <f t="shared" si="17"/>
        <v>13.915590655716651</v>
      </c>
      <c r="K147">
        <f t="shared" si="12"/>
        <v>3.2068679576545982</v>
      </c>
      <c r="L147">
        <f t="shared" si="13"/>
        <v>3.9362713518775969</v>
      </c>
      <c r="M147">
        <f t="shared" si="14"/>
        <v>0</v>
      </c>
      <c r="N147">
        <f t="shared" si="15"/>
        <v>4.0105261700820565</v>
      </c>
      <c r="O147">
        <f t="shared" si="16"/>
        <v>9630.479689041993</v>
      </c>
    </row>
    <row r="148" spans="7:15" x14ac:dyDescent="0.25">
      <c r="G148">
        <v>146</v>
      </c>
      <c r="H148">
        <v>0.9210926370196828</v>
      </c>
      <c r="I148">
        <v>0.64182198604154317</v>
      </c>
      <c r="J148">
        <f t="shared" si="17"/>
        <v>18.500760103373974</v>
      </c>
      <c r="K148">
        <f t="shared" si="12"/>
        <v>3.5587149963606697</v>
      </c>
      <c r="L148">
        <f t="shared" si="13"/>
        <v>4.4984943482544946</v>
      </c>
      <c r="M148">
        <f t="shared" si="14"/>
        <v>4.5182843623202764</v>
      </c>
      <c r="N148">
        <f t="shared" si="15"/>
        <v>4.8332488011061754</v>
      </c>
      <c r="O148">
        <f t="shared" si="16"/>
        <v>71025.689580503516</v>
      </c>
    </row>
    <row r="149" spans="7:15" x14ac:dyDescent="0.25">
      <c r="G149">
        <v>147</v>
      </c>
      <c r="H149">
        <v>0.44671637165799161</v>
      </c>
      <c r="I149">
        <v>0.62396337420481829</v>
      </c>
      <c r="J149">
        <f t="shared" si="17"/>
        <v>9.4876110615018412</v>
      </c>
      <c r="K149">
        <f t="shared" si="12"/>
        <v>2.7206578190137316</v>
      </c>
      <c r="L149">
        <f t="shared" si="13"/>
        <v>0</v>
      </c>
      <c r="M149">
        <f t="shared" si="14"/>
        <v>0</v>
      </c>
      <c r="N149">
        <f t="shared" si="15"/>
        <v>2.7206578190137316</v>
      </c>
      <c r="O149">
        <f t="shared" si="16"/>
        <v>545.07110358094576</v>
      </c>
    </row>
    <row r="150" spans="7:15" x14ac:dyDescent="0.25">
      <c r="G150">
        <v>148</v>
      </c>
      <c r="H150">
        <v>0.79412566379906613</v>
      </c>
      <c r="I150">
        <v>0.38505775556875554</v>
      </c>
      <c r="J150">
        <f t="shared" si="17"/>
        <v>16.088387612182256</v>
      </c>
      <c r="K150">
        <f t="shared" si="12"/>
        <v>3.3869441181907591</v>
      </c>
      <c r="L150">
        <f t="shared" si="13"/>
        <v>4.2564187189446931</v>
      </c>
      <c r="M150">
        <f t="shared" si="14"/>
        <v>3.6709618317807773</v>
      </c>
      <c r="N150">
        <f t="shared" si="15"/>
        <v>4.4009313237010517</v>
      </c>
      <c r="O150">
        <f t="shared" si="16"/>
        <v>24339.975312861265</v>
      </c>
    </row>
    <row r="151" spans="7:15" x14ac:dyDescent="0.25">
      <c r="G151">
        <v>149</v>
      </c>
      <c r="H151">
        <v>0.5339659373431217</v>
      </c>
      <c r="I151">
        <v>0.36737799464150556</v>
      </c>
      <c r="J151">
        <f t="shared" si="17"/>
        <v>11.145352809519313</v>
      </c>
      <c r="K151">
        <f t="shared" si="12"/>
        <v>2.9272756438281213</v>
      </c>
      <c r="L151">
        <f t="shared" si="13"/>
        <v>3.0447284953052263</v>
      </c>
      <c r="M151">
        <f t="shared" si="14"/>
        <v>0</v>
      </c>
      <c r="N151">
        <f t="shared" si="15"/>
        <v>3.2909905932642913</v>
      </c>
      <c r="O151">
        <f t="shared" si="16"/>
        <v>1879.5344938913106</v>
      </c>
    </row>
    <row r="152" spans="7:15" x14ac:dyDescent="0.25">
      <c r="G152">
        <v>150</v>
      </c>
      <c r="H152">
        <v>0.58233446033538594</v>
      </c>
      <c r="I152">
        <v>7.9285432218070273E-3</v>
      </c>
      <c r="J152">
        <f t="shared" si="17"/>
        <v>12.064354746372333</v>
      </c>
      <c r="K152">
        <f t="shared" si="12"/>
        <v>3.0276994765836522</v>
      </c>
      <c r="L152">
        <f t="shared" si="13"/>
        <v>3.4719897198978873</v>
      </c>
      <c r="M152">
        <f t="shared" si="14"/>
        <v>0</v>
      </c>
      <c r="N152">
        <f t="shared" si="15"/>
        <v>3.6053718041369684</v>
      </c>
      <c r="O152">
        <f t="shared" si="16"/>
        <v>3053.2501385474902</v>
      </c>
    </row>
    <row r="153" spans="7:15" x14ac:dyDescent="0.25">
      <c r="G153">
        <v>151</v>
      </c>
      <c r="H153">
        <v>0.94644775753383337</v>
      </c>
      <c r="I153">
        <v>0.54349997276045703</v>
      </c>
      <c r="J153">
        <f t="shared" si="17"/>
        <v>18.982507393142836</v>
      </c>
      <c r="K153">
        <f t="shared" si="12"/>
        <v>3.5901638920759522</v>
      </c>
      <c r="L153">
        <f t="shared" si="13"/>
        <v>4.5384738527171882</v>
      </c>
      <c r="M153">
        <f t="shared" si="14"/>
        <v>4.6117947428163024</v>
      </c>
      <c r="N153">
        <f t="shared" si="15"/>
        <v>4.8995507650644434</v>
      </c>
      <c r="O153">
        <f t="shared" si="16"/>
        <v>80355.114934134501</v>
      </c>
    </row>
    <row r="154" spans="7:15" x14ac:dyDescent="0.25">
      <c r="G154">
        <v>152</v>
      </c>
      <c r="H154">
        <v>0.59338579255128465</v>
      </c>
      <c r="I154">
        <v>0.6913880809056786</v>
      </c>
      <c r="J154">
        <f t="shared" si="17"/>
        <v>12.274330058474408</v>
      </c>
      <c r="K154">
        <f t="shared" si="12"/>
        <v>3.0494718846408855</v>
      </c>
      <c r="L154">
        <f t="shared" si="13"/>
        <v>3.5422452188818845</v>
      </c>
      <c r="M154">
        <f t="shared" si="14"/>
        <v>0</v>
      </c>
      <c r="N154">
        <f t="shared" si="15"/>
        <v>3.6633235020794932</v>
      </c>
      <c r="O154">
        <f t="shared" si="16"/>
        <v>4878.7991468945265</v>
      </c>
    </row>
    <row r="155" spans="7:15" x14ac:dyDescent="0.25">
      <c r="G155">
        <v>153</v>
      </c>
      <c r="H155">
        <v>0.47563207423642506</v>
      </c>
      <c r="I155">
        <v>0.65348822768549675</v>
      </c>
      <c r="J155">
        <f t="shared" si="17"/>
        <v>10.037009410492075</v>
      </c>
      <c r="K155">
        <f t="shared" si="12"/>
        <v>2.7932958574086237</v>
      </c>
      <c r="L155">
        <f t="shared" si="13"/>
        <v>0.55538120820070436</v>
      </c>
      <c r="M155">
        <f t="shared" si="14"/>
        <v>0</v>
      </c>
      <c r="N155">
        <f t="shared" si="15"/>
        <v>2.7957997581584224</v>
      </c>
      <c r="O155">
        <f t="shared" si="16"/>
        <v>653.93942219204996</v>
      </c>
    </row>
    <row r="156" spans="7:15" x14ac:dyDescent="0.25">
      <c r="G156">
        <v>154</v>
      </c>
      <c r="H156">
        <v>0.82150935374891942</v>
      </c>
      <c r="I156">
        <v>0.60822949963277284</v>
      </c>
      <c r="J156">
        <f t="shared" si="17"/>
        <v>16.608677721229469</v>
      </c>
      <c r="K156">
        <f t="shared" si="12"/>
        <v>3.4262062017499928</v>
      </c>
      <c r="L156">
        <f t="shared" si="13"/>
        <v>4.3158912264435747</v>
      </c>
      <c r="M156">
        <f t="shared" si="14"/>
        <v>3.9543365452749448</v>
      </c>
      <c r="N156">
        <f t="shared" si="15"/>
        <v>4.5100931005425764</v>
      </c>
      <c r="O156">
        <f t="shared" si="16"/>
        <v>33406.307426226122</v>
      </c>
    </row>
    <row r="157" spans="7:15" x14ac:dyDescent="0.25">
      <c r="G157">
        <v>155</v>
      </c>
      <c r="H157">
        <v>0.67967281858819772</v>
      </c>
      <c r="I157">
        <v>0.53720516248284511</v>
      </c>
      <c r="J157">
        <f t="shared" si="17"/>
        <v>13.913783553175756</v>
      </c>
      <c r="K157">
        <f t="shared" si="12"/>
        <v>3.2067059065662153</v>
      </c>
      <c r="L157">
        <f t="shared" si="13"/>
        <v>3.9359365510433495</v>
      </c>
      <c r="M157">
        <f t="shared" si="14"/>
        <v>0</v>
      </c>
      <c r="N157">
        <f t="shared" si="15"/>
        <v>4.0102185231347507</v>
      </c>
      <c r="O157">
        <f t="shared" si="16"/>
        <v>10348.759127509224</v>
      </c>
    </row>
    <row r="158" spans="7:15" x14ac:dyDescent="0.25">
      <c r="G158">
        <v>156</v>
      </c>
      <c r="H158">
        <v>0.30939690389954255</v>
      </c>
      <c r="I158">
        <v>0.54830627943534904</v>
      </c>
      <c r="J158">
        <f t="shared" si="17"/>
        <v>6.8785411740913087</v>
      </c>
      <c r="K158">
        <f t="shared" si="12"/>
        <v>2.2952820704147583</v>
      </c>
      <c r="L158">
        <f t="shared" si="13"/>
        <v>0</v>
      </c>
      <c r="M158">
        <f t="shared" si="14"/>
        <v>0</v>
      </c>
      <c r="N158">
        <f t="shared" si="15"/>
        <v>2.2952820704147583</v>
      </c>
      <c r="O158">
        <f t="shared" si="16"/>
        <v>200.147991174601</v>
      </c>
    </row>
    <row r="159" spans="7:15" x14ac:dyDescent="0.25">
      <c r="G159">
        <v>157</v>
      </c>
      <c r="H159">
        <v>0.9447840072702044</v>
      </c>
      <c r="I159">
        <v>9.2943435391395823E-2</v>
      </c>
      <c r="J159">
        <f t="shared" si="17"/>
        <v>18.950896138133885</v>
      </c>
      <c r="K159">
        <f t="shared" si="12"/>
        <v>3.5881262564042089</v>
      </c>
      <c r="L159">
        <f t="shared" si="13"/>
        <v>4.5359169733111262</v>
      </c>
      <c r="M159">
        <f t="shared" si="14"/>
        <v>4.6060149100912744</v>
      </c>
      <c r="N159">
        <f t="shared" si="15"/>
        <v>4.8953609611082021</v>
      </c>
      <c r="O159">
        <f t="shared" si="16"/>
        <v>67486.779263240343</v>
      </c>
    </row>
    <row r="160" spans="7:15" x14ac:dyDescent="0.25">
      <c r="G160">
        <v>158</v>
      </c>
      <c r="H160">
        <v>0.35669388364170485</v>
      </c>
      <c r="I160">
        <v>0.91192735940746106</v>
      </c>
      <c r="J160">
        <f t="shared" si="17"/>
        <v>7.7771837891923923</v>
      </c>
      <c r="K160">
        <f t="shared" si="12"/>
        <v>2.4600279342816878</v>
      </c>
      <c r="L160">
        <f t="shared" si="13"/>
        <v>0</v>
      </c>
      <c r="M160">
        <f t="shared" si="14"/>
        <v>0</v>
      </c>
      <c r="N160">
        <f t="shared" si="15"/>
        <v>2.4600279342816878</v>
      </c>
      <c r="O160">
        <f t="shared" si="16"/>
        <v>337.02638780897922</v>
      </c>
    </row>
    <row r="161" spans="7:15" x14ac:dyDescent="0.25">
      <c r="G161">
        <v>159</v>
      </c>
      <c r="H161">
        <v>7.9933568247070874E-2</v>
      </c>
      <c r="I161">
        <v>0.27510519007576095</v>
      </c>
      <c r="J161">
        <f t="shared" si="17"/>
        <v>2.5187377966943467</v>
      </c>
      <c r="K161">
        <f t="shared" si="12"/>
        <v>0.72785070222332082</v>
      </c>
      <c r="L161">
        <f t="shared" si="13"/>
        <v>0</v>
      </c>
      <c r="M161">
        <f t="shared" si="14"/>
        <v>0</v>
      </c>
      <c r="N161">
        <f t="shared" si="15"/>
        <v>0.72785070222332082</v>
      </c>
      <c r="O161">
        <f t="shared" si="16"/>
        <v>4.9885974104186088</v>
      </c>
    </row>
    <row r="162" spans="7:15" x14ac:dyDescent="0.25">
      <c r="G162">
        <v>160</v>
      </c>
      <c r="H162">
        <v>0.48619221784048194</v>
      </c>
      <c r="I162">
        <v>0.50876684027786512</v>
      </c>
      <c r="J162">
        <f t="shared" si="17"/>
        <v>10.237652138969157</v>
      </c>
      <c r="K162">
        <f t="shared" si="12"/>
        <v>2.8187275094759943</v>
      </c>
      <c r="L162">
        <f t="shared" si="13"/>
        <v>1.9041225734543887</v>
      </c>
      <c r="M162">
        <f t="shared" si="14"/>
        <v>0</v>
      </c>
      <c r="N162">
        <f t="shared" si="15"/>
        <v>2.8686155668548614</v>
      </c>
      <c r="O162">
        <f t="shared" si="16"/>
        <v>740.82292931128393</v>
      </c>
    </row>
    <row r="163" spans="7:15" x14ac:dyDescent="0.25">
      <c r="G163">
        <v>161</v>
      </c>
      <c r="H163">
        <v>0.11024044472026961</v>
      </c>
      <c r="I163">
        <v>0.68676114790286102</v>
      </c>
      <c r="J163">
        <f t="shared" si="17"/>
        <v>3.0945684496851227</v>
      </c>
      <c r="K163">
        <f t="shared" si="12"/>
        <v>1.1001487186900114</v>
      </c>
      <c r="L163">
        <f t="shared" si="13"/>
        <v>0</v>
      </c>
      <c r="M163">
        <f t="shared" si="14"/>
        <v>0</v>
      </c>
      <c r="N163">
        <f t="shared" si="15"/>
        <v>1.1001487186900114</v>
      </c>
      <c r="O163">
        <f t="shared" si="16"/>
        <v>13.319356459220192</v>
      </c>
    </row>
    <row r="164" spans="7:15" x14ac:dyDescent="0.25">
      <c r="G164">
        <v>162</v>
      </c>
      <c r="H164">
        <v>0.14566473141826308</v>
      </c>
      <c r="I164">
        <v>0.8373812022588526</v>
      </c>
      <c r="J164">
        <f t="shared" si="17"/>
        <v>3.7676298969469988</v>
      </c>
      <c r="K164">
        <f t="shared" si="12"/>
        <v>1.4228512676489597</v>
      </c>
      <c r="L164">
        <f t="shared" si="13"/>
        <v>0</v>
      </c>
      <c r="M164">
        <f t="shared" si="14"/>
        <v>0</v>
      </c>
      <c r="N164">
        <f t="shared" si="15"/>
        <v>1.4228512676489597</v>
      </c>
      <c r="O164">
        <f t="shared" si="16"/>
        <v>29.65096651843027</v>
      </c>
    </row>
    <row r="165" spans="7:15" x14ac:dyDescent="0.25">
      <c r="G165">
        <v>163</v>
      </c>
      <c r="H165">
        <v>0.52086681965991033</v>
      </c>
      <c r="I165">
        <v>0.21447532111748202</v>
      </c>
      <c r="J165">
        <f t="shared" si="17"/>
        <v>10.896469573538296</v>
      </c>
      <c r="K165">
        <f t="shared" si="12"/>
        <v>2.8985106820680442</v>
      </c>
      <c r="L165">
        <f t="shared" si="13"/>
        <v>2.8670342638339332</v>
      </c>
      <c r="M165">
        <f t="shared" si="14"/>
        <v>0</v>
      </c>
      <c r="N165">
        <f t="shared" si="15"/>
        <v>3.1840875712846639</v>
      </c>
      <c r="O165">
        <f t="shared" si="16"/>
        <v>1394.8841554740138</v>
      </c>
    </row>
    <row r="166" spans="7:15" x14ac:dyDescent="0.25">
      <c r="G166">
        <v>164</v>
      </c>
      <c r="H166">
        <v>0.1908912421744724</v>
      </c>
      <c r="I166">
        <v>0.53416154724457909</v>
      </c>
      <c r="J166">
        <f t="shared" si="17"/>
        <v>4.6269336013149758</v>
      </c>
      <c r="K166">
        <f t="shared" si="12"/>
        <v>1.7360021786109567</v>
      </c>
      <c r="L166">
        <f t="shared" si="13"/>
        <v>0</v>
      </c>
      <c r="M166">
        <f t="shared" si="14"/>
        <v>0</v>
      </c>
      <c r="N166">
        <f t="shared" si="15"/>
        <v>1.7360021786109567</v>
      </c>
      <c r="O166">
        <f t="shared" si="16"/>
        <v>54.990660932430366</v>
      </c>
    </row>
    <row r="167" spans="7:15" x14ac:dyDescent="0.25">
      <c r="G167">
        <v>165</v>
      </c>
      <c r="H167">
        <v>0.40838386261751269</v>
      </c>
      <c r="I167">
        <v>0.74706740314132247</v>
      </c>
      <c r="J167">
        <f t="shared" si="17"/>
        <v>8.7592933897327416</v>
      </c>
      <c r="K167">
        <f t="shared" si="12"/>
        <v>2.6167556945718347</v>
      </c>
      <c r="L167">
        <f t="shared" si="13"/>
        <v>0</v>
      </c>
      <c r="M167">
        <f t="shared" si="14"/>
        <v>0</v>
      </c>
      <c r="N167">
        <f t="shared" si="15"/>
        <v>2.6167556945718347</v>
      </c>
      <c r="O167">
        <f t="shared" si="16"/>
        <v>446.7043497590156</v>
      </c>
    </row>
    <row r="168" spans="7:15" x14ac:dyDescent="0.25">
      <c r="G168">
        <v>166</v>
      </c>
      <c r="H168">
        <v>0.80451566612721614</v>
      </c>
      <c r="I168">
        <v>0.2258922036034624</v>
      </c>
      <c r="J168">
        <f t="shared" si="17"/>
        <v>16.285797656417106</v>
      </c>
      <c r="K168">
        <f t="shared" si="12"/>
        <v>3.4019981823454239</v>
      </c>
      <c r="L168">
        <f t="shared" si="13"/>
        <v>4.2795617510624631</v>
      </c>
      <c r="M168">
        <f t="shared" si="14"/>
        <v>3.7918515281990874</v>
      </c>
      <c r="N168">
        <f t="shared" si="15"/>
        <v>4.4432810226933928</v>
      </c>
      <c r="O168">
        <f t="shared" si="16"/>
        <v>25448.304267647047</v>
      </c>
    </row>
    <row r="169" spans="7:15" x14ac:dyDescent="0.25">
      <c r="G169">
        <v>167</v>
      </c>
      <c r="H169">
        <v>0.42417801198835892</v>
      </c>
      <c r="I169">
        <v>0.16035671333574153</v>
      </c>
      <c r="J169">
        <f t="shared" si="17"/>
        <v>9.0593822277788192</v>
      </c>
      <c r="K169">
        <f t="shared" si="12"/>
        <v>2.660701240811965</v>
      </c>
      <c r="L169">
        <f t="shared" si="13"/>
        <v>0</v>
      </c>
      <c r="M169">
        <f t="shared" si="14"/>
        <v>0</v>
      </c>
      <c r="N169">
        <f t="shared" si="15"/>
        <v>2.660701240811965</v>
      </c>
      <c r="O169">
        <f t="shared" si="16"/>
        <v>408.36790025969958</v>
      </c>
    </row>
    <row r="170" spans="7:15" x14ac:dyDescent="0.25">
      <c r="G170">
        <v>168</v>
      </c>
      <c r="H170">
        <v>0.80944351169853623</v>
      </c>
      <c r="I170">
        <v>0.59180173055198138</v>
      </c>
      <c r="J170">
        <f t="shared" si="17"/>
        <v>16.379426722272189</v>
      </c>
      <c r="K170">
        <f t="shared" si="12"/>
        <v>3.4090702911295336</v>
      </c>
      <c r="L170">
        <f t="shared" si="13"/>
        <v>4.290285249479215</v>
      </c>
      <c r="M170">
        <f t="shared" si="14"/>
        <v>3.8428299566181896</v>
      </c>
      <c r="N170">
        <f t="shared" si="15"/>
        <v>4.4629920394283449</v>
      </c>
      <c r="O170">
        <f t="shared" si="16"/>
        <v>29826.421236492217</v>
      </c>
    </row>
    <row r="171" spans="7:15" x14ac:dyDescent="0.25">
      <c r="G171">
        <v>169</v>
      </c>
      <c r="H171">
        <v>0.91047739500586489</v>
      </c>
      <c r="I171">
        <v>0.23389911669134289</v>
      </c>
      <c r="J171">
        <f t="shared" si="17"/>
        <v>18.299070505111434</v>
      </c>
      <c r="K171">
        <f t="shared" si="12"/>
        <v>3.5452906152533532</v>
      </c>
      <c r="L171">
        <f t="shared" si="13"/>
        <v>4.4810790770254503</v>
      </c>
      <c r="M171">
        <f t="shared" si="14"/>
        <v>4.4752472034055897</v>
      </c>
      <c r="N171">
        <f t="shared" si="15"/>
        <v>4.8038348210329769</v>
      </c>
      <c r="O171">
        <f t="shared" si="16"/>
        <v>58550.622219794299</v>
      </c>
    </row>
    <row r="172" spans="7:15" x14ac:dyDescent="0.25">
      <c r="G172">
        <v>170</v>
      </c>
      <c r="H172">
        <v>0.9289620521740396</v>
      </c>
      <c r="I172">
        <v>5.11438496807054E-2</v>
      </c>
      <c r="J172">
        <f t="shared" si="17"/>
        <v>18.650278991306752</v>
      </c>
      <c r="K172">
        <f t="shared" si="12"/>
        <v>3.5685674306974042</v>
      </c>
      <c r="L172">
        <f t="shared" si="13"/>
        <v>4.5111401800800639</v>
      </c>
      <c r="M172">
        <f t="shared" si="14"/>
        <v>4.5486177547267328</v>
      </c>
      <c r="N172">
        <f t="shared" si="15"/>
        <v>4.8544040657651371</v>
      </c>
      <c r="O172">
        <f t="shared" si="16"/>
        <v>59253.080614571176</v>
      </c>
    </row>
    <row r="173" spans="7:15" x14ac:dyDescent="0.25">
      <c r="G173">
        <v>171</v>
      </c>
      <c r="H173">
        <v>0.47048324915292494</v>
      </c>
      <c r="I173">
        <v>0.66098188403073244</v>
      </c>
      <c r="J173">
        <f t="shared" si="17"/>
        <v>9.9391817339055741</v>
      </c>
      <c r="K173">
        <f t="shared" si="12"/>
        <v>2.78069060958684</v>
      </c>
      <c r="L173">
        <f t="shared" si="13"/>
        <v>0</v>
      </c>
      <c r="M173">
        <f t="shared" si="14"/>
        <v>0</v>
      </c>
      <c r="N173">
        <f t="shared" si="15"/>
        <v>2.78069060958684</v>
      </c>
      <c r="O173">
        <f t="shared" si="16"/>
        <v>633.06430576376113</v>
      </c>
    </row>
    <row r="174" spans="7:15" x14ac:dyDescent="0.25">
      <c r="G174">
        <v>172</v>
      </c>
      <c r="H174">
        <v>0.38752033628387439</v>
      </c>
      <c r="I174">
        <v>0.40734012238450923</v>
      </c>
      <c r="J174">
        <f t="shared" si="17"/>
        <v>8.3628863893936138</v>
      </c>
      <c r="K174">
        <f t="shared" si="12"/>
        <v>2.5560248301171566</v>
      </c>
      <c r="L174">
        <f t="shared" si="13"/>
        <v>0</v>
      </c>
      <c r="M174">
        <f t="shared" si="14"/>
        <v>0</v>
      </c>
      <c r="N174">
        <f t="shared" si="15"/>
        <v>2.5560248301171566</v>
      </c>
      <c r="O174">
        <f t="shared" si="16"/>
        <v>350.19117932945852</v>
      </c>
    </row>
    <row r="175" spans="7:15" x14ac:dyDescent="0.25">
      <c r="G175">
        <v>173</v>
      </c>
      <c r="H175">
        <v>0.90989009692601475</v>
      </c>
      <c r="I175">
        <v>0.60769816175872182</v>
      </c>
      <c r="J175">
        <f t="shared" si="17"/>
        <v>18.28791184159428</v>
      </c>
      <c r="K175">
        <f t="shared" si="12"/>
        <v>3.5445433366214907</v>
      </c>
      <c r="L175">
        <f t="shared" si="13"/>
        <v>4.4801032437054928</v>
      </c>
      <c r="M175">
        <f t="shared" si="14"/>
        <v>4.4727899107879132</v>
      </c>
      <c r="N175">
        <f t="shared" si="15"/>
        <v>4.8021770547257923</v>
      </c>
      <c r="O175">
        <f t="shared" si="16"/>
        <v>65439.999403979193</v>
      </c>
    </row>
    <row r="176" spans="7:15" x14ac:dyDescent="0.25">
      <c r="G176">
        <v>174</v>
      </c>
      <c r="H176">
        <v>0.49954438271798229</v>
      </c>
      <c r="I176">
        <v>0.84503048737247033</v>
      </c>
      <c r="J176">
        <f t="shared" si="17"/>
        <v>10.491343271641664</v>
      </c>
      <c r="K176">
        <f t="shared" si="12"/>
        <v>2.8501037139539975</v>
      </c>
      <c r="L176">
        <f t="shared" si="13"/>
        <v>2.4309128607472021</v>
      </c>
      <c r="M176">
        <f t="shared" si="14"/>
        <v>0</v>
      </c>
      <c r="N176">
        <f t="shared" si="15"/>
        <v>2.9902654399309019</v>
      </c>
      <c r="O176">
        <f t="shared" si="16"/>
        <v>1099.0891969922484</v>
      </c>
    </row>
    <row r="177" spans="7:15" x14ac:dyDescent="0.25">
      <c r="G177">
        <v>175</v>
      </c>
      <c r="H177">
        <v>0.74211211889614059</v>
      </c>
      <c r="I177">
        <v>0.69621461738901524</v>
      </c>
      <c r="J177">
        <f t="shared" si="17"/>
        <v>15.10013025902667</v>
      </c>
      <c r="K177">
        <f t="shared" si="12"/>
        <v>3.308491564674449</v>
      </c>
      <c r="L177">
        <f t="shared" si="13"/>
        <v>4.1279606065638772</v>
      </c>
      <c r="M177">
        <f t="shared" si="14"/>
        <v>1.9404773535494197</v>
      </c>
      <c r="N177">
        <f t="shared" si="15"/>
        <v>4.1916824230370748</v>
      </c>
      <c r="O177">
        <f t="shared" si="16"/>
        <v>16495.277589265941</v>
      </c>
    </row>
    <row r="178" spans="7:15" x14ac:dyDescent="0.25">
      <c r="G178">
        <v>176</v>
      </c>
      <c r="H178">
        <v>0.32951584982834681</v>
      </c>
      <c r="I178">
        <v>0.28429671094111642</v>
      </c>
      <c r="J178">
        <f t="shared" si="17"/>
        <v>7.2608011467385891</v>
      </c>
      <c r="K178">
        <f t="shared" si="12"/>
        <v>2.3682429922852339</v>
      </c>
      <c r="L178">
        <f t="shared" si="13"/>
        <v>0</v>
      </c>
      <c r="M178">
        <f t="shared" si="14"/>
        <v>0</v>
      </c>
      <c r="N178">
        <f t="shared" si="15"/>
        <v>2.3682429922852339</v>
      </c>
      <c r="O178">
        <f t="shared" si="16"/>
        <v>218.64360494170785</v>
      </c>
    </row>
    <row r="179" spans="7:15" x14ac:dyDescent="0.25">
      <c r="G179">
        <v>177</v>
      </c>
      <c r="H179">
        <v>0.664512735569595</v>
      </c>
      <c r="I179">
        <v>0.49094861374729259</v>
      </c>
      <c r="J179">
        <f t="shared" si="17"/>
        <v>13.625741975822304</v>
      </c>
      <c r="K179">
        <f t="shared" si="12"/>
        <v>3.1805816578372279</v>
      </c>
      <c r="L179">
        <f t="shared" si="13"/>
        <v>3.8804927023789437</v>
      </c>
      <c r="M179">
        <f t="shared" si="14"/>
        <v>0</v>
      </c>
      <c r="N179">
        <f t="shared" si="15"/>
        <v>3.9595172499261659</v>
      </c>
      <c r="O179">
        <f t="shared" si="16"/>
        <v>9086.2091539396915</v>
      </c>
    </row>
    <row r="180" spans="7:15" x14ac:dyDescent="0.25">
      <c r="G180">
        <v>178</v>
      </c>
      <c r="H180">
        <v>0.33463657718546924</v>
      </c>
      <c r="I180">
        <v>0.40767826378493455</v>
      </c>
      <c r="J180">
        <f t="shared" si="17"/>
        <v>7.3580949665239155</v>
      </c>
      <c r="K180">
        <f t="shared" si="12"/>
        <v>2.386101926377731</v>
      </c>
      <c r="L180">
        <f t="shared" si="13"/>
        <v>0</v>
      </c>
      <c r="M180">
        <f t="shared" si="14"/>
        <v>0</v>
      </c>
      <c r="N180">
        <f t="shared" si="15"/>
        <v>2.386101926377731</v>
      </c>
      <c r="O180">
        <f t="shared" si="16"/>
        <v>236.82407771671947</v>
      </c>
    </row>
    <row r="181" spans="7:15" x14ac:dyDescent="0.25">
      <c r="G181">
        <v>179</v>
      </c>
      <c r="H181">
        <v>0.14581894780041738</v>
      </c>
      <c r="I181">
        <v>0.54084973686386439</v>
      </c>
      <c r="J181">
        <f t="shared" si="17"/>
        <v>3.77056000820793</v>
      </c>
      <c r="K181">
        <f t="shared" si="12"/>
        <v>1.4240767282344706</v>
      </c>
      <c r="L181">
        <f t="shared" si="13"/>
        <v>0</v>
      </c>
      <c r="M181">
        <f t="shared" si="14"/>
        <v>0</v>
      </c>
      <c r="N181">
        <f t="shared" si="15"/>
        <v>1.4240767282344706</v>
      </c>
      <c r="O181">
        <f t="shared" si="16"/>
        <v>26.866151723703968</v>
      </c>
    </row>
    <row r="182" spans="7:15" x14ac:dyDescent="0.25">
      <c r="G182">
        <v>180</v>
      </c>
      <c r="H182">
        <v>0.76582761703372204</v>
      </c>
      <c r="I182">
        <v>0.5384347324590959</v>
      </c>
      <c r="J182">
        <f t="shared" si="17"/>
        <v>15.55072472364072</v>
      </c>
      <c r="K182">
        <f t="shared" si="12"/>
        <v>3.344922231044364</v>
      </c>
      <c r="L182">
        <f t="shared" si="13"/>
        <v>4.1893638707887337</v>
      </c>
      <c r="M182">
        <f t="shared" si="14"/>
        <v>3.1768939743698903</v>
      </c>
      <c r="N182">
        <f t="shared" si="15"/>
        <v>4.2828705689088782</v>
      </c>
      <c r="O182">
        <f t="shared" si="16"/>
        <v>19395.23849715506</v>
      </c>
    </row>
    <row r="183" spans="7:15" x14ac:dyDescent="0.25">
      <c r="G183">
        <v>181</v>
      </c>
      <c r="H183">
        <v>0.43582209743085132</v>
      </c>
      <c r="I183">
        <v>0.78112862210658851</v>
      </c>
      <c r="J183">
        <f t="shared" si="17"/>
        <v>9.2806198511861755</v>
      </c>
      <c r="K183">
        <f t="shared" si="12"/>
        <v>2.6920641584051888</v>
      </c>
      <c r="L183">
        <f t="shared" si="13"/>
        <v>0</v>
      </c>
      <c r="M183">
        <f t="shared" si="14"/>
        <v>0</v>
      </c>
      <c r="N183">
        <f t="shared" si="15"/>
        <v>2.6920641584051888</v>
      </c>
      <c r="O183">
        <f t="shared" si="16"/>
        <v>538.10209882651122</v>
      </c>
    </row>
    <row r="184" spans="7:15" x14ac:dyDescent="0.25">
      <c r="G184">
        <v>182</v>
      </c>
      <c r="H184">
        <v>0.4269782011536758</v>
      </c>
      <c r="I184">
        <v>0.21417941978413202</v>
      </c>
      <c r="J184">
        <f t="shared" si="17"/>
        <v>9.1125858219198399</v>
      </c>
      <c r="K184">
        <f t="shared" si="12"/>
        <v>2.6683213764748208</v>
      </c>
      <c r="L184">
        <f t="shared" si="13"/>
        <v>0</v>
      </c>
      <c r="M184">
        <f t="shared" si="14"/>
        <v>0</v>
      </c>
      <c r="N184">
        <f t="shared" si="15"/>
        <v>2.6683213764748208</v>
      </c>
      <c r="O184">
        <f t="shared" si="16"/>
        <v>425.32530193406245</v>
      </c>
    </row>
    <row r="185" spans="7:15" x14ac:dyDescent="0.25">
      <c r="G185">
        <v>183</v>
      </c>
      <c r="H185">
        <v>0.92825144666162251</v>
      </c>
      <c r="I185">
        <v>0.97214459876968784</v>
      </c>
      <c r="J185">
        <f t="shared" si="17"/>
        <v>18.636777486570828</v>
      </c>
      <c r="K185">
        <f t="shared" si="12"/>
        <v>3.5676811938539288</v>
      </c>
      <c r="L185">
        <f t="shared" si="13"/>
        <v>4.5100072790057135</v>
      </c>
      <c r="M185">
        <f t="shared" si="14"/>
        <v>4.5459301752707413</v>
      </c>
      <c r="N185">
        <f t="shared" si="15"/>
        <v>4.8525157862849086</v>
      </c>
      <c r="O185">
        <f t="shared" si="16"/>
        <v>88752.447630891067</v>
      </c>
    </row>
    <row r="186" spans="7:15" x14ac:dyDescent="0.25">
      <c r="G186">
        <v>184</v>
      </c>
      <c r="H186">
        <v>0.40209748958394798</v>
      </c>
      <c r="I186">
        <v>0.38596854012949511</v>
      </c>
      <c r="J186">
        <f t="shared" si="17"/>
        <v>8.6398523020950115</v>
      </c>
      <c r="K186">
        <f t="shared" si="12"/>
        <v>2.5987897990316493</v>
      </c>
      <c r="L186">
        <f t="shared" si="13"/>
        <v>0</v>
      </c>
      <c r="M186">
        <f t="shared" si="14"/>
        <v>0</v>
      </c>
      <c r="N186">
        <f t="shared" si="15"/>
        <v>2.5987897990316493</v>
      </c>
      <c r="O186">
        <f t="shared" si="16"/>
        <v>383.97035628172483</v>
      </c>
    </row>
    <row r="187" spans="7:15" x14ac:dyDescent="0.25">
      <c r="G187">
        <v>185</v>
      </c>
      <c r="H187">
        <v>0.91578250033627651</v>
      </c>
      <c r="I187">
        <v>0.15051305260734593</v>
      </c>
      <c r="J187">
        <f t="shared" si="17"/>
        <v>18.399867506389253</v>
      </c>
      <c r="K187">
        <f t="shared" si="12"/>
        <v>3.5520190754832619</v>
      </c>
      <c r="L187">
        <f t="shared" si="13"/>
        <v>4.4898348564464508</v>
      </c>
      <c r="M187">
        <f t="shared" si="14"/>
        <v>4.4970747643520932</v>
      </c>
      <c r="N187">
        <f t="shared" si="15"/>
        <v>4.8186637111360975</v>
      </c>
      <c r="O187">
        <f t="shared" si="16"/>
        <v>58472.537170548356</v>
      </c>
    </row>
    <row r="188" spans="7:15" x14ac:dyDescent="0.25">
      <c r="G188">
        <v>186</v>
      </c>
      <c r="H188">
        <v>0.64198899927929487</v>
      </c>
      <c r="I188">
        <v>0.54165975039930536</v>
      </c>
      <c r="J188">
        <f t="shared" si="17"/>
        <v>13.197790986306602</v>
      </c>
      <c r="K188">
        <f t="shared" si="12"/>
        <v>3.1406463981118371</v>
      </c>
      <c r="L188">
        <f t="shared" si="13"/>
        <v>3.7893995121833122</v>
      </c>
      <c r="M188">
        <f t="shared" si="14"/>
        <v>0</v>
      </c>
      <c r="N188">
        <f t="shared" si="15"/>
        <v>3.8773639011206913</v>
      </c>
      <c r="O188">
        <f t="shared" si="16"/>
        <v>7631.2327979403581</v>
      </c>
    </row>
    <row r="189" spans="7:15" x14ac:dyDescent="0.25">
      <c r="G189">
        <v>187</v>
      </c>
      <c r="H189">
        <v>0.87977174763867561</v>
      </c>
      <c r="I189">
        <v>0.61304685500147771</v>
      </c>
      <c r="J189">
        <f t="shared" si="17"/>
        <v>17.715663205134838</v>
      </c>
      <c r="K189">
        <f t="shared" si="12"/>
        <v>3.5055595311977852</v>
      </c>
      <c r="L189">
        <f t="shared" si="13"/>
        <v>4.4282132362415503</v>
      </c>
      <c r="M189">
        <f t="shared" si="14"/>
        <v>4.3341060027340994</v>
      </c>
      <c r="N189">
        <f t="shared" si="15"/>
        <v>4.7125703391277014</v>
      </c>
      <c r="O189">
        <f t="shared" si="16"/>
        <v>53325.359687655422</v>
      </c>
    </row>
    <row r="190" spans="7:15" x14ac:dyDescent="0.25">
      <c r="G190">
        <v>188</v>
      </c>
      <c r="H190">
        <v>0.96493390773211762</v>
      </c>
      <c r="I190">
        <v>0.41438928347098158</v>
      </c>
      <c r="J190">
        <f t="shared" si="17"/>
        <v>19.333744246910236</v>
      </c>
      <c r="K190">
        <f t="shared" si="12"/>
        <v>3.612566348573754</v>
      </c>
      <c r="L190">
        <f t="shared" si="13"/>
        <v>4.5662932359627932</v>
      </c>
      <c r="M190">
        <f t="shared" si="14"/>
        <v>4.6730949108319564</v>
      </c>
      <c r="N190">
        <f t="shared" si="15"/>
        <v>4.9446984603044104</v>
      </c>
      <c r="O190">
        <f t="shared" si="16"/>
        <v>85878.617037037126</v>
      </c>
    </row>
    <row r="191" spans="7:15" x14ac:dyDescent="0.25">
      <c r="G191">
        <v>189</v>
      </c>
      <c r="H191">
        <v>0.25865460608222746</v>
      </c>
      <c r="I191">
        <v>0.71950764838263137</v>
      </c>
      <c r="J191">
        <f t="shared" si="17"/>
        <v>5.9144375155623212</v>
      </c>
      <c r="K191">
        <f t="shared" si="12"/>
        <v>2.0878267456578925</v>
      </c>
      <c r="L191">
        <f t="shared" si="13"/>
        <v>0</v>
      </c>
      <c r="M191">
        <f t="shared" si="14"/>
        <v>0</v>
      </c>
      <c r="N191">
        <f t="shared" si="15"/>
        <v>2.0878267456578925</v>
      </c>
      <c r="O191">
        <f t="shared" si="16"/>
        <v>130.88676120367819</v>
      </c>
    </row>
    <row r="192" spans="7:15" x14ac:dyDescent="0.25">
      <c r="G192">
        <v>190</v>
      </c>
      <c r="H192">
        <v>0.25407473585244977</v>
      </c>
      <c r="I192">
        <v>0.34100249367569724</v>
      </c>
      <c r="J192">
        <f t="shared" si="17"/>
        <v>5.8274199811965453</v>
      </c>
      <c r="K192">
        <f t="shared" si="12"/>
        <v>2.0671367885224554</v>
      </c>
      <c r="L192">
        <f t="shared" si="13"/>
        <v>0</v>
      </c>
      <c r="M192">
        <f t="shared" si="14"/>
        <v>0</v>
      </c>
      <c r="N192">
        <f t="shared" si="15"/>
        <v>2.0671367885224554</v>
      </c>
      <c r="O192">
        <f t="shared" si="16"/>
        <v>111.33977886540696</v>
      </c>
    </row>
    <row r="193" spans="7:15" x14ac:dyDescent="0.25">
      <c r="G193">
        <v>191</v>
      </c>
      <c r="H193">
        <v>0.93338459650658168</v>
      </c>
      <c r="I193">
        <v>0.65130158854025688</v>
      </c>
      <c r="J193">
        <f t="shared" si="17"/>
        <v>18.734307333625051</v>
      </c>
      <c r="K193">
        <f t="shared" si="12"/>
        <v>3.5740678465987314</v>
      </c>
      <c r="L193">
        <f t="shared" si="13"/>
        <v>4.5181514323783052</v>
      </c>
      <c r="M193">
        <f t="shared" si="14"/>
        <v>4.5651240324309947</v>
      </c>
      <c r="N193">
        <f t="shared" si="15"/>
        <v>4.8660598100144465</v>
      </c>
      <c r="O193">
        <f t="shared" si="16"/>
        <v>76824.83808664314</v>
      </c>
    </row>
    <row r="194" spans="7:15" x14ac:dyDescent="0.25">
      <c r="G194">
        <v>192</v>
      </c>
      <c r="H194">
        <v>0.43191554385285325</v>
      </c>
      <c r="I194">
        <v>6.1532632852615232E-2</v>
      </c>
      <c r="J194">
        <f t="shared" si="17"/>
        <v>9.2063953332042114</v>
      </c>
      <c r="K194">
        <f t="shared" si="12"/>
        <v>2.6816363913395476</v>
      </c>
      <c r="L194">
        <f t="shared" si="13"/>
        <v>0</v>
      </c>
      <c r="M194">
        <f t="shared" si="14"/>
        <v>0</v>
      </c>
      <c r="N194">
        <f t="shared" si="15"/>
        <v>2.6816363913395476</v>
      </c>
      <c r="O194">
        <f t="shared" si="16"/>
        <v>402.28577664028501</v>
      </c>
    </row>
    <row r="195" spans="7:15" x14ac:dyDescent="0.25">
      <c r="G195">
        <v>193</v>
      </c>
      <c r="H195">
        <v>0.55976142129627515</v>
      </c>
      <c r="I195">
        <v>0.27781107685987005</v>
      </c>
      <c r="J195">
        <f t="shared" si="17"/>
        <v>11.635467004629227</v>
      </c>
      <c r="K195">
        <f t="shared" ref="K195:K258" si="18">$E$7+$D$8*LOG10(J195-$D$6)</f>
        <v>2.9819140708917025</v>
      </c>
      <c r="L195">
        <f t="shared" ref="L195:L258" si="19">IF(J195&gt;=$D$14,$E$15+$D$16*LOG10(J195-$D$14), 0)</f>
        <v>3.3030816723579384</v>
      </c>
      <c r="M195">
        <f t="shared" ref="M195:M258" si="20">IF(J195&gt;=$D$22,$E$23+$D$24*LOG10(J195-$D$22), 0)</f>
        <v>0</v>
      </c>
      <c r="N195">
        <f t="shared" ref="N195:N258" si="21">IF(J195&lt;$D$14,K195,IF(AND(J195&gt;=$D$14,J195&lt;$D$22),LOG10(10^K195+10^L195),LOG10(10^K195+10^L195+10^M195)))</f>
        <v>3.4725636056965246</v>
      </c>
      <c r="O195">
        <f t="shared" ref="O195:O258" si="22">10^(N195+_xlfn.NORM.INV(I195, 0, $D$26))</f>
        <v>2773.9318104079348</v>
      </c>
    </row>
    <row r="196" spans="7:15" x14ac:dyDescent="0.25">
      <c r="G196">
        <v>194</v>
      </c>
      <c r="H196">
        <v>0.33247593520813989</v>
      </c>
      <c r="I196">
        <v>0.28464270617832665</v>
      </c>
      <c r="J196">
        <f t="shared" ref="J196:J259" si="23">$D$6 + H196*(20-$D$6)</f>
        <v>7.317042768954658</v>
      </c>
      <c r="K196">
        <f t="shared" si="18"/>
        <v>2.3786000780247054</v>
      </c>
      <c r="L196">
        <f t="shared" si="19"/>
        <v>0</v>
      </c>
      <c r="M196">
        <f t="shared" si="20"/>
        <v>0</v>
      </c>
      <c r="N196">
        <f t="shared" si="21"/>
        <v>2.3786000780247054</v>
      </c>
      <c r="O196">
        <f t="shared" si="22"/>
        <v>223.94680294318675</v>
      </c>
    </row>
    <row r="197" spans="7:15" x14ac:dyDescent="0.25">
      <c r="G197">
        <v>195</v>
      </c>
      <c r="H197">
        <v>0.88701003068435857</v>
      </c>
      <c r="I197">
        <v>0.61487446407323831</v>
      </c>
      <c r="J197">
        <f t="shared" si="23"/>
        <v>17.853190583002814</v>
      </c>
      <c r="K197">
        <f t="shared" si="18"/>
        <v>3.5150489173390951</v>
      </c>
      <c r="L197">
        <f t="shared" si="19"/>
        <v>4.4410269375790961</v>
      </c>
      <c r="M197">
        <f t="shared" si="20"/>
        <v>4.3699356422134557</v>
      </c>
      <c r="N197">
        <f t="shared" si="21"/>
        <v>4.7349604095324969</v>
      </c>
      <c r="O197">
        <f t="shared" si="22"/>
        <v>56177.542178542048</v>
      </c>
    </row>
    <row r="198" spans="7:15" x14ac:dyDescent="0.25">
      <c r="G198">
        <v>196</v>
      </c>
      <c r="H198">
        <v>0.77093550162932045</v>
      </c>
      <c r="I198">
        <v>0.68907725308031809</v>
      </c>
      <c r="J198">
        <f t="shared" si="23"/>
        <v>15.647774530957088</v>
      </c>
      <c r="K198">
        <f t="shared" si="18"/>
        <v>3.3526209556731974</v>
      </c>
      <c r="L198">
        <f t="shared" si="19"/>
        <v>4.20193506405277</v>
      </c>
      <c r="M198">
        <f t="shared" si="20"/>
        <v>3.2946110967825448</v>
      </c>
      <c r="N198">
        <f t="shared" si="21"/>
        <v>4.3041163183501556</v>
      </c>
      <c r="O198">
        <f t="shared" si="22"/>
        <v>21319.555374296935</v>
      </c>
    </row>
    <row r="199" spans="7:15" x14ac:dyDescent="0.25">
      <c r="G199">
        <v>197</v>
      </c>
      <c r="H199">
        <v>0.74403465509784472</v>
      </c>
      <c r="I199">
        <v>0.97708049401458563</v>
      </c>
      <c r="J199">
        <f t="shared" si="23"/>
        <v>15.13665844685905</v>
      </c>
      <c r="K199">
        <f t="shared" si="18"/>
        <v>3.3114879392597203</v>
      </c>
      <c r="L199">
        <f t="shared" si="19"/>
        <v>4.1331366392416982</v>
      </c>
      <c r="M199">
        <f t="shared" si="20"/>
        <v>2.1660461589521818</v>
      </c>
      <c r="N199">
        <f t="shared" si="21"/>
        <v>4.1981819681009096</v>
      </c>
      <c r="O199">
        <f t="shared" si="22"/>
        <v>19862.120109374337</v>
      </c>
    </row>
    <row r="200" spans="7:15" x14ac:dyDescent="0.25">
      <c r="G200">
        <v>198</v>
      </c>
      <c r="H200">
        <v>0.89053781148269395</v>
      </c>
      <c r="I200">
        <v>0.22236044890533346</v>
      </c>
      <c r="J200">
        <f t="shared" si="23"/>
        <v>17.920218418171185</v>
      </c>
      <c r="K200">
        <f t="shared" si="18"/>
        <v>3.5196458051317889</v>
      </c>
      <c r="L200">
        <f t="shared" si="19"/>
        <v>4.4471909431222469</v>
      </c>
      <c r="M200">
        <f t="shared" si="20"/>
        <v>4.3867768471061233</v>
      </c>
      <c r="N200">
        <f t="shared" si="21"/>
        <v>4.745670514055897</v>
      </c>
      <c r="O200">
        <f t="shared" si="22"/>
        <v>50986.856142183002</v>
      </c>
    </row>
    <row r="201" spans="7:15" x14ac:dyDescent="0.25">
      <c r="G201">
        <v>199</v>
      </c>
      <c r="H201">
        <v>0.52680033135576798</v>
      </c>
      <c r="I201">
        <v>0.94335281769754176</v>
      </c>
      <c r="J201">
        <f t="shared" si="23"/>
        <v>11.009206295759592</v>
      </c>
      <c r="K201">
        <f t="shared" si="18"/>
        <v>2.911628939778133</v>
      </c>
      <c r="L201">
        <f t="shared" si="19"/>
        <v>2.9529464069398812</v>
      </c>
      <c r="M201">
        <f t="shared" si="20"/>
        <v>0</v>
      </c>
      <c r="N201">
        <f t="shared" si="21"/>
        <v>3.2338088362338788</v>
      </c>
      <c r="O201">
        <f t="shared" si="22"/>
        <v>2055.8277804852496</v>
      </c>
    </row>
    <row r="202" spans="7:15" x14ac:dyDescent="0.25">
      <c r="G202">
        <v>200</v>
      </c>
      <c r="H202">
        <v>0.53858625548624073</v>
      </c>
      <c r="I202">
        <v>0.61711355408614299</v>
      </c>
      <c r="J202">
        <f t="shared" si="23"/>
        <v>11.233138854238574</v>
      </c>
      <c r="K202">
        <f t="shared" si="18"/>
        <v>2.9372535443896632</v>
      </c>
      <c r="L202">
        <f t="shared" si="19"/>
        <v>3.0982898983257297</v>
      </c>
      <c r="M202">
        <f t="shared" si="20"/>
        <v>0</v>
      </c>
      <c r="N202">
        <f t="shared" si="21"/>
        <v>3.3262233776991637</v>
      </c>
      <c r="O202">
        <f t="shared" si="22"/>
        <v>2193.4049023692373</v>
      </c>
    </row>
    <row r="203" spans="7:15" x14ac:dyDescent="0.25">
      <c r="G203">
        <v>201</v>
      </c>
      <c r="H203">
        <v>0.53342566827772797</v>
      </c>
      <c r="I203">
        <v>0.52953046071365606</v>
      </c>
      <c r="J203">
        <f t="shared" si="23"/>
        <v>11.135087697276832</v>
      </c>
      <c r="K203">
        <f t="shared" si="18"/>
        <v>2.9261032611454745</v>
      </c>
      <c r="L203">
        <f t="shared" si="19"/>
        <v>3.0381990142335971</v>
      </c>
      <c r="M203">
        <f t="shared" si="20"/>
        <v>0</v>
      </c>
      <c r="N203">
        <f t="shared" si="21"/>
        <v>3.2867877679342485</v>
      </c>
      <c r="O203">
        <f t="shared" si="22"/>
        <v>1952.0558933156515</v>
      </c>
    </row>
    <row r="204" spans="7:15" x14ac:dyDescent="0.25">
      <c r="G204">
        <v>202</v>
      </c>
      <c r="H204">
        <v>0.58341582710750151</v>
      </c>
      <c r="I204">
        <v>0.494172994521064</v>
      </c>
      <c r="J204">
        <f t="shared" si="23"/>
        <v>12.084900715042529</v>
      </c>
      <c r="K204">
        <f t="shared" si="18"/>
        <v>3.0298480522517153</v>
      </c>
      <c r="L204">
        <f t="shared" si="19"/>
        <v>3.4791724702972684</v>
      </c>
      <c r="M204">
        <f t="shared" si="20"/>
        <v>0</v>
      </c>
      <c r="N204">
        <f t="shared" si="21"/>
        <v>3.6112289807101181</v>
      </c>
      <c r="O204">
        <f t="shared" si="22"/>
        <v>4078.4829201098992</v>
      </c>
    </row>
    <row r="205" spans="7:15" x14ac:dyDescent="0.25">
      <c r="G205">
        <v>203</v>
      </c>
      <c r="H205">
        <v>0.7992293681564222</v>
      </c>
      <c r="I205">
        <v>0.6101267103352519</v>
      </c>
      <c r="J205">
        <f t="shared" si="23"/>
        <v>16.185357994972023</v>
      </c>
      <c r="K205">
        <f t="shared" si="18"/>
        <v>3.39436332500305</v>
      </c>
      <c r="L205">
        <f t="shared" si="19"/>
        <v>4.2678791725394882</v>
      </c>
      <c r="M205">
        <f t="shared" si="20"/>
        <v>3.7328619569024686</v>
      </c>
      <c r="N205">
        <f t="shared" si="21"/>
        <v>4.4218585120720935</v>
      </c>
      <c r="O205">
        <f t="shared" si="22"/>
        <v>27279.787128814001</v>
      </c>
    </row>
    <row r="206" spans="7:15" x14ac:dyDescent="0.25">
      <c r="G206">
        <v>204</v>
      </c>
      <c r="H206">
        <v>0.42234551057397363</v>
      </c>
      <c r="I206">
        <v>0.94512729314464594</v>
      </c>
      <c r="J206">
        <f t="shared" si="23"/>
        <v>9.0245647009054988</v>
      </c>
      <c r="K206">
        <f t="shared" si="18"/>
        <v>2.6556871868259178</v>
      </c>
      <c r="L206">
        <f t="shared" si="19"/>
        <v>0</v>
      </c>
      <c r="M206">
        <f t="shared" si="20"/>
        <v>0</v>
      </c>
      <c r="N206">
        <f t="shared" si="21"/>
        <v>2.6556871868259178</v>
      </c>
      <c r="O206">
        <f t="shared" si="22"/>
        <v>544.06916222183054</v>
      </c>
    </row>
    <row r="207" spans="7:15" x14ac:dyDescent="0.25">
      <c r="G207">
        <v>205</v>
      </c>
      <c r="H207">
        <v>0.43762149704842068</v>
      </c>
      <c r="I207">
        <v>0.26124903341333583</v>
      </c>
      <c r="J207">
        <f t="shared" si="23"/>
        <v>9.3148084439199934</v>
      </c>
      <c r="K207">
        <f t="shared" si="18"/>
        <v>2.6968358944631601</v>
      </c>
      <c r="L207">
        <f t="shared" si="19"/>
        <v>0</v>
      </c>
      <c r="M207">
        <f t="shared" si="20"/>
        <v>0</v>
      </c>
      <c r="N207">
        <f t="shared" si="21"/>
        <v>2.6968358944631601</v>
      </c>
      <c r="O207">
        <f t="shared" si="22"/>
        <v>462.23297229455812</v>
      </c>
    </row>
    <row r="208" spans="7:15" x14ac:dyDescent="0.25">
      <c r="G208">
        <v>206</v>
      </c>
      <c r="H208">
        <v>0.62907510151334045</v>
      </c>
      <c r="I208">
        <v>0.79322867974463596</v>
      </c>
      <c r="J208">
        <f t="shared" si="23"/>
        <v>12.952426928753468</v>
      </c>
      <c r="K208">
        <f t="shared" si="18"/>
        <v>3.1171128248475184</v>
      </c>
      <c r="L208">
        <f t="shared" si="19"/>
        <v>3.7314990821272307</v>
      </c>
      <c r="M208">
        <f t="shared" si="20"/>
        <v>0</v>
      </c>
      <c r="N208">
        <f t="shared" si="21"/>
        <v>3.8259716709532658</v>
      </c>
      <c r="O208">
        <f t="shared" si="22"/>
        <v>7359.620729242507</v>
      </c>
    </row>
    <row r="209" spans="7:15" x14ac:dyDescent="0.25">
      <c r="G209">
        <v>207</v>
      </c>
      <c r="H209">
        <v>0.99130533466733317</v>
      </c>
      <c r="I209">
        <v>0.52408880751086706</v>
      </c>
      <c r="J209">
        <f t="shared" si="23"/>
        <v>19.834801358679329</v>
      </c>
      <c r="K209">
        <f t="shared" si="18"/>
        <v>3.6437926834104419</v>
      </c>
      <c r="L209">
        <f t="shared" si="19"/>
        <v>4.6042184281228078</v>
      </c>
      <c r="M209">
        <f t="shared" si="20"/>
        <v>4.7524455576019324</v>
      </c>
      <c r="N209">
        <f t="shared" si="21"/>
        <v>5.0049848914862389</v>
      </c>
      <c r="O209">
        <f t="shared" si="22"/>
        <v>101860.5021218342</v>
      </c>
    </row>
    <row r="210" spans="7:15" x14ac:dyDescent="0.25">
      <c r="G210">
        <v>208</v>
      </c>
      <c r="H210">
        <v>0.50420523144868301</v>
      </c>
      <c r="I210">
        <v>4.8413227075380427E-2</v>
      </c>
      <c r="J210">
        <f t="shared" si="23"/>
        <v>10.579899397524978</v>
      </c>
      <c r="K210">
        <f t="shared" si="18"/>
        <v>2.8608590944033709</v>
      </c>
      <c r="L210">
        <f t="shared" si="19"/>
        <v>2.5510988266637744</v>
      </c>
      <c r="M210">
        <f t="shared" si="20"/>
        <v>0</v>
      </c>
      <c r="N210">
        <f t="shared" si="21"/>
        <v>3.0340597187318115</v>
      </c>
      <c r="O210">
        <f t="shared" si="22"/>
        <v>893.38331951317264</v>
      </c>
    </row>
    <row r="211" spans="7:15" x14ac:dyDescent="0.25">
      <c r="G211">
        <v>209</v>
      </c>
      <c r="H211">
        <v>0.30320893692856254</v>
      </c>
      <c r="I211">
        <v>0.72286813141382422</v>
      </c>
      <c r="J211">
        <f t="shared" si="23"/>
        <v>6.7609698016426885</v>
      </c>
      <c r="K211">
        <f t="shared" si="18"/>
        <v>2.2718848285701596</v>
      </c>
      <c r="L211">
        <f t="shared" si="19"/>
        <v>0</v>
      </c>
      <c r="M211">
        <f t="shared" si="20"/>
        <v>0</v>
      </c>
      <c r="N211">
        <f t="shared" si="21"/>
        <v>2.2718848285701596</v>
      </c>
      <c r="O211">
        <f t="shared" si="22"/>
        <v>200.19534981711465</v>
      </c>
    </row>
    <row r="212" spans="7:15" x14ac:dyDescent="0.25">
      <c r="G212">
        <v>210</v>
      </c>
      <c r="H212">
        <v>5.9494559784478596E-2</v>
      </c>
      <c r="I212">
        <v>3.7588304858714783E-2</v>
      </c>
      <c r="J212">
        <f t="shared" si="23"/>
        <v>2.1303966359050932</v>
      </c>
      <c r="K212">
        <f t="shared" si="18"/>
        <v>0.38584551566146075</v>
      </c>
      <c r="L212">
        <f t="shared" si="19"/>
        <v>0</v>
      </c>
      <c r="M212">
        <f t="shared" si="20"/>
        <v>0</v>
      </c>
      <c r="N212">
        <f t="shared" si="21"/>
        <v>0.38584551566146075</v>
      </c>
      <c r="O212">
        <f t="shared" si="22"/>
        <v>1.9809624761320641</v>
      </c>
    </row>
    <row r="213" spans="7:15" x14ac:dyDescent="0.25">
      <c r="G213">
        <v>211</v>
      </c>
      <c r="H213">
        <v>0.30183299225616311</v>
      </c>
      <c r="I213">
        <v>6.1036135460287522E-2</v>
      </c>
      <c r="J213">
        <f t="shared" si="23"/>
        <v>6.7348268528670996</v>
      </c>
      <c r="K213">
        <f t="shared" si="18"/>
        <v>2.2666173923374542</v>
      </c>
      <c r="L213">
        <f t="shared" si="19"/>
        <v>0</v>
      </c>
      <c r="M213">
        <f t="shared" si="20"/>
        <v>0</v>
      </c>
      <c r="N213">
        <f t="shared" si="21"/>
        <v>2.2666173923374542</v>
      </c>
      <c r="O213">
        <f t="shared" si="22"/>
        <v>154.636034885751</v>
      </c>
    </row>
    <row r="214" spans="7:15" x14ac:dyDescent="0.25">
      <c r="G214">
        <v>212</v>
      </c>
      <c r="H214">
        <v>0.33544800478348025</v>
      </c>
      <c r="I214">
        <v>0.6196317118452479</v>
      </c>
      <c r="J214">
        <f t="shared" si="23"/>
        <v>7.3735120908861251</v>
      </c>
      <c r="K214">
        <f t="shared" si="18"/>
        <v>2.3889067360789582</v>
      </c>
      <c r="L214">
        <f t="shared" si="19"/>
        <v>0</v>
      </c>
      <c r="M214">
        <f t="shared" si="20"/>
        <v>0</v>
      </c>
      <c r="N214">
        <f t="shared" si="21"/>
        <v>2.3889067360789582</v>
      </c>
      <c r="O214">
        <f t="shared" si="22"/>
        <v>253.59017290386078</v>
      </c>
    </row>
    <row r="215" spans="7:15" x14ac:dyDescent="0.25">
      <c r="G215">
        <v>213</v>
      </c>
      <c r="H215">
        <v>0.57851401303549899</v>
      </c>
      <c r="I215">
        <v>0.8993846191913939</v>
      </c>
      <c r="J215">
        <f t="shared" si="23"/>
        <v>11.99176624767448</v>
      </c>
      <c r="K215">
        <f t="shared" si="18"/>
        <v>3.0200765228138806</v>
      </c>
      <c r="L215">
        <f t="shared" si="19"/>
        <v>3.4460279640803884</v>
      </c>
      <c r="M215">
        <f t="shared" si="20"/>
        <v>0</v>
      </c>
      <c r="N215">
        <f t="shared" si="21"/>
        <v>3.5843353780437917</v>
      </c>
      <c r="O215">
        <f t="shared" si="22"/>
        <v>4448.7502445299897</v>
      </c>
    </row>
    <row r="216" spans="7:15" x14ac:dyDescent="0.25">
      <c r="G216">
        <v>214</v>
      </c>
      <c r="H216">
        <v>0.61202587364072936</v>
      </c>
      <c r="I216">
        <v>0.90123474308990303</v>
      </c>
      <c r="J216">
        <f t="shared" si="23"/>
        <v>12.628491599173858</v>
      </c>
      <c r="K216">
        <f t="shared" si="18"/>
        <v>3.0852922545738375</v>
      </c>
      <c r="L216">
        <f t="shared" si="19"/>
        <v>3.6472098994115796</v>
      </c>
      <c r="M216">
        <f t="shared" si="20"/>
        <v>0</v>
      </c>
      <c r="N216">
        <f t="shared" si="21"/>
        <v>3.7524507076024158</v>
      </c>
      <c r="O216">
        <f t="shared" si="22"/>
        <v>6559.6650860044647</v>
      </c>
    </row>
    <row r="217" spans="7:15" x14ac:dyDescent="0.25">
      <c r="G217">
        <v>215</v>
      </c>
      <c r="H217">
        <v>0.50404269446090166</v>
      </c>
      <c r="I217">
        <v>0.13731167321918625</v>
      </c>
      <c r="J217">
        <f t="shared" si="23"/>
        <v>10.576811194757132</v>
      </c>
      <c r="K217">
        <f t="shared" si="18"/>
        <v>2.8604856999067936</v>
      </c>
      <c r="L217">
        <f t="shared" si="19"/>
        <v>2.5472261351369139</v>
      </c>
      <c r="M217">
        <f t="shared" si="20"/>
        <v>0</v>
      </c>
      <c r="N217">
        <f t="shared" si="21"/>
        <v>3.0325385798199558</v>
      </c>
      <c r="O217">
        <f t="shared" si="22"/>
        <v>950.41813159252035</v>
      </c>
    </row>
    <row r="218" spans="7:15" x14ac:dyDescent="0.25">
      <c r="G218">
        <v>216</v>
      </c>
      <c r="H218">
        <v>0.50916495097196179</v>
      </c>
      <c r="I218">
        <v>0.8063357311177729</v>
      </c>
      <c r="J218">
        <f t="shared" si="23"/>
        <v>10.674134068467275</v>
      </c>
      <c r="K218">
        <f t="shared" si="18"/>
        <v>2.8721955033203996</v>
      </c>
      <c r="L218">
        <f t="shared" si="19"/>
        <v>2.660306168603995</v>
      </c>
      <c r="M218">
        <f t="shared" si="20"/>
        <v>0</v>
      </c>
      <c r="N218">
        <f t="shared" si="21"/>
        <v>3.0800770820719294</v>
      </c>
      <c r="O218">
        <f t="shared" si="22"/>
        <v>1328.3138250126899</v>
      </c>
    </row>
    <row r="219" spans="7:15" x14ac:dyDescent="0.25">
      <c r="G219">
        <v>217</v>
      </c>
      <c r="H219">
        <v>0.44753363355509757</v>
      </c>
      <c r="I219">
        <v>2.325844810416966E-2</v>
      </c>
      <c r="J219">
        <f t="shared" si="23"/>
        <v>9.5031390375468536</v>
      </c>
      <c r="K219">
        <f t="shared" si="18"/>
        <v>2.7227746464717066</v>
      </c>
      <c r="L219">
        <f t="shared" si="19"/>
        <v>0</v>
      </c>
      <c r="M219">
        <f t="shared" si="20"/>
        <v>0</v>
      </c>
      <c r="N219">
        <f t="shared" si="21"/>
        <v>2.7227746464717066</v>
      </c>
      <c r="O219">
        <f t="shared" si="22"/>
        <v>419.99199992130258</v>
      </c>
    </row>
    <row r="220" spans="7:15" x14ac:dyDescent="0.25">
      <c r="G220">
        <v>218</v>
      </c>
      <c r="H220">
        <v>0.16447256175728908</v>
      </c>
      <c r="I220">
        <v>7.1807519424701871E-2</v>
      </c>
      <c r="J220">
        <f t="shared" si="23"/>
        <v>4.1249786733884921</v>
      </c>
      <c r="K220">
        <f t="shared" si="18"/>
        <v>1.5634887195326408</v>
      </c>
      <c r="L220">
        <f t="shared" si="19"/>
        <v>0</v>
      </c>
      <c r="M220">
        <f t="shared" si="20"/>
        <v>0</v>
      </c>
      <c r="N220">
        <f t="shared" si="21"/>
        <v>1.5634887195326408</v>
      </c>
      <c r="O220">
        <f t="shared" si="22"/>
        <v>30.928986605599604</v>
      </c>
    </row>
    <row r="221" spans="7:15" x14ac:dyDescent="0.25">
      <c r="G221">
        <v>219</v>
      </c>
      <c r="H221">
        <v>0.11643224857074086</v>
      </c>
      <c r="I221">
        <v>0.47619382786733166</v>
      </c>
      <c r="J221">
        <f t="shared" si="23"/>
        <v>3.2122127228440762</v>
      </c>
      <c r="K221">
        <f t="shared" si="18"/>
        <v>1.163434927224017</v>
      </c>
      <c r="L221">
        <f t="shared" si="19"/>
        <v>0</v>
      </c>
      <c r="M221">
        <f t="shared" si="20"/>
        <v>0</v>
      </c>
      <c r="N221">
        <f t="shared" si="21"/>
        <v>1.163434927224017</v>
      </c>
      <c r="O221">
        <f t="shared" si="22"/>
        <v>14.469365695941184</v>
      </c>
    </row>
    <row r="222" spans="7:15" x14ac:dyDescent="0.25">
      <c r="G222">
        <v>220</v>
      </c>
      <c r="H222">
        <v>0.39890081393753252</v>
      </c>
      <c r="I222">
        <v>0.95055310333543941</v>
      </c>
      <c r="J222">
        <f t="shared" si="23"/>
        <v>8.5791154648131176</v>
      </c>
      <c r="K222">
        <f t="shared" si="18"/>
        <v>2.5895459611317593</v>
      </c>
      <c r="L222">
        <f t="shared" si="19"/>
        <v>0</v>
      </c>
      <c r="M222">
        <f t="shared" si="20"/>
        <v>0</v>
      </c>
      <c r="N222">
        <f t="shared" si="21"/>
        <v>2.5895459611317593</v>
      </c>
      <c r="O222">
        <f t="shared" si="22"/>
        <v>469.9568423429734</v>
      </c>
    </row>
    <row r="223" spans="7:15" x14ac:dyDescent="0.25">
      <c r="G223">
        <v>221</v>
      </c>
      <c r="H223">
        <v>0.8848329758976532</v>
      </c>
      <c r="I223">
        <v>5.7302518783793444E-2</v>
      </c>
      <c r="J223">
        <f t="shared" si="23"/>
        <v>17.81182654205541</v>
      </c>
      <c r="K223">
        <f t="shared" si="18"/>
        <v>3.5122029666073393</v>
      </c>
      <c r="L223">
        <f t="shared" si="19"/>
        <v>4.4371967162280352</v>
      </c>
      <c r="M223">
        <f t="shared" si="20"/>
        <v>4.3593440749492816</v>
      </c>
      <c r="N223">
        <f t="shared" si="21"/>
        <v>4.7282853885106677</v>
      </c>
      <c r="O223">
        <f t="shared" si="22"/>
        <v>44606.070713096298</v>
      </c>
    </row>
    <row r="224" spans="7:15" x14ac:dyDescent="0.25">
      <c r="G224">
        <v>222</v>
      </c>
      <c r="H224">
        <v>0.36199138455671764</v>
      </c>
      <c r="I224">
        <v>0.44867462820079662</v>
      </c>
      <c r="J224">
        <f t="shared" si="23"/>
        <v>7.8778363065776356</v>
      </c>
      <c r="K224">
        <f t="shared" si="18"/>
        <v>2.477101459590946</v>
      </c>
      <c r="L224">
        <f t="shared" si="19"/>
        <v>0</v>
      </c>
      <c r="M224">
        <f t="shared" si="20"/>
        <v>0</v>
      </c>
      <c r="N224">
        <f t="shared" si="21"/>
        <v>2.477101459590946</v>
      </c>
      <c r="O224">
        <f t="shared" si="22"/>
        <v>295.56358747861384</v>
      </c>
    </row>
    <row r="225" spans="7:15" x14ac:dyDescent="0.25">
      <c r="G225">
        <v>223</v>
      </c>
      <c r="H225">
        <v>0.49787429703742003</v>
      </c>
      <c r="I225">
        <v>0.61366067595345974</v>
      </c>
      <c r="J225">
        <f t="shared" si="23"/>
        <v>10.45961164371098</v>
      </c>
      <c r="K225">
        <f t="shared" si="18"/>
        <v>2.8462253844865053</v>
      </c>
      <c r="L225">
        <f t="shared" si="19"/>
        <v>2.3824928961132743</v>
      </c>
      <c r="M225">
        <f t="shared" si="20"/>
        <v>0</v>
      </c>
      <c r="N225">
        <f t="shared" si="21"/>
        <v>2.9745502072920398</v>
      </c>
      <c r="O225">
        <f t="shared" si="22"/>
        <v>974.97583544047438</v>
      </c>
    </row>
    <row r="226" spans="7:15" x14ac:dyDescent="0.25">
      <c r="G226">
        <v>224</v>
      </c>
      <c r="H226">
        <v>7.6486121211409852E-3</v>
      </c>
      <c r="I226">
        <v>0.86904739258270391</v>
      </c>
      <c r="J226">
        <f t="shared" si="23"/>
        <v>1.1453236303016787</v>
      </c>
      <c r="K226">
        <f t="shared" si="18"/>
        <v>-1.9898734657135051</v>
      </c>
      <c r="L226">
        <f t="shared" si="19"/>
        <v>0</v>
      </c>
      <c r="M226">
        <f t="shared" si="20"/>
        <v>0</v>
      </c>
      <c r="N226">
        <f t="shared" si="21"/>
        <v>-1.9898734657135051</v>
      </c>
      <c r="O226">
        <f t="shared" si="22"/>
        <v>1.1647199232339559E-2</v>
      </c>
    </row>
    <row r="227" spans="7:15" x14ac:dyDescent="0.25">
      <c r="G227">
        <v>225</v>
      </c>
      <c r="H227">
        <v>0.25448311201756824</v>
      </c>
      <c r="I227">
        <v>0.33963065559517702</v>
      </c>
      <c r="J227">
        <f t="shared" si="23"/>
        <v>5.8351791283337962</v>
      </c>
      <c r="K227">
        <f t="shared" si="18"/>
        <v>2.0689967466128665</v>
      </c>
      <c r="L227">
        <f t="shared" si="19"/>
        <v>0</v>
      </c>
      <c r="M227">
        <f t="shared" si="20"/>
        <v>0</v>
      </c>
      <c r="N227">
        <f t="shared" si="21"/>
        <v>2.0689967466128665</v>
      </c>
      <c r="O227">
        <f t="shared" si="22"/>
        <v>111.76946683896314</v>
      </c>
    </row>
    <row r="228" spans="7:15" x14ac:dyDescent="0.25">
      <c r="G228">
        <v>226</v>
      </c>
      <c r="H228">
        <v>0.19639919921956717</v>
      </c>
      <c r="I228">
        <v>5.4001164067926655E-2</v>
      </c>
      <c r="J228">
        <f t="shared" si="23"/>
        <v>4.7315847851717763</v>
      </c>
      <c r="K228">
        <f t="shared" si="18"/>
        <v>1.7689454017556465</v>
      </c>
      <c r="L228">
        <f t="shared" si="19"/>
        <v>0</v>
      </c>
      <c r="M228">
        <f t="shared" si="20"/>
        <v>0</v>
      </c>
      <c r="N228">
        <f t="shared" si="21"/>
        <v>1.7689454017556465</v>
      </c>
      <c r="O228">
        <f t="shared" si="22"/>
        <v>48.818399606772473</v>
      </c>
    </row>
    <row r="229" spans="7:15" x14ac:dyDescent="0.25">
      <c r="G229">
        <v>227</v>
      </c>
      <c r="H229">
        <v>0.58223774651337079</v>
      </c>
      <c r="I229">
        <v>8.5211077603206786E-2</v>
      </c>
      <c r="J229">
        <f t="shared" si="23"/>
        <v>12.062517183754045</v>
      </c>
      <c r="K229">
        <f t="shared" si="18"/>
        <v>3.0275071208369972</v>
      </c>
      <c r="L229">
        <f t="shared" si="19"/>
        <v>3.4713438397104475</v>
      </c>
      <c r="M229">
        <f t="shared" si="20"/>
        <v>0</v>
      </c>
      <c r="N229">
        <f t="shared" si="21"/>
        <v>3.6048459001658202</v>
      </c>
      <c r="O229">
        <f t="shared" si="22"/>
        <v>3437.9809812093131</v>
      </c>
    </row>
    <row r="230" spans="7:15" x14ac:dyDescent="0.25">
      <c r="G230">
        <v>228</v>
      </c>
      <c r="H230">
        <v>0.28435762854927216</v>
      </c>
      <c r="I230">
        <v>0.47062994851580942</v>
      </c>
      <c r="J230">
        <f t="shared" si="23"/>
        <v>6.402794942436171</v>
      </c>
      <c r="K230">
        <f t="shared" si="18"/>
        <v>2.1975458577407014</v>
      </c>
      <c r="L230">
        <f t="shared" si="19"/>
        <v>0</v>
      </c>
      <c r="M230">
        <f t="shared" si="20"/>
        <v>0</v>
      </c>
      <c r="N230">
        <f t="shared" si="21"/>
        <v>2.1975458577407014</v>
      </c>
      <c r="O230">
        <f t="shared" si="22"/>
        <v>156.26493522450511</v>
      </c>
    </row>
    <row r="231" spans="7:15" x14ac:dyDescent="0.25">
      <c r="G231">
        <v>229</v>
      </c>
      <c r="H231">
        <v>0.17668742279222416</v>
      </c>
      <c r="I231">
        <v>0.44726394364566691</v>
      </c>
      <c r="J231">
        <f t="shared" si="23"/>
        <v>4.3570610330522594</v>
      </c>
      <c r="K231">
        <f t="shared" si="18"/>
        <v>1.6464545307077716</v>
      </c>
      <c r="L231">
        <f t="shared" si="19"/>
        <v>0</v>
      </c>
      <c r="M231">
        <f t="shared" si="20"/>
        <v>0</v>
      </c>
      <c r="N231">
        <f t="shared" si="21"/>
        <v>1.6464545307077716</v>
      </c>
      <c r="O231">
        <f t="shared" si="22"/>
        <v>43.634065421133592</v>
      </c>
    </row>
    <row r="232" spans="7:15" x14ac:dyDescent="0.25">
      <c r="G232">
        <v>230</v>
      </c>
      <c r="H232">
        <v>0.80346070614021625</v>
      </c>
      <c r="I232">
        <v>0.53398860660784042</v>
      </c>
      <c r="J232">
        <f t="shared" si="23"/>
        <v>16.265753416664111</v>
      </c>
      <c r="K232">
        <f t="shared" si="18"/>
        <v>3.4004785468594907</v>
      </c>
      <c r="L232">
        <f t="shared" si="19"/>
        <v>4.2772452988863598</v>
      </c>
      <c r="M232">
        <f t="shared" si="20"/>
        <v>3.7804562473036012</v>
      </c>
      <c r="N232">
        <f t="shared" si="21"/>
        <v>4.4390279922114253</v>
      </c>
      <c r="O232">
        <f t="shared" si="22"/>
        <v>27751.917692994844</v>
      </c>
    </row>
    <row r="233" spans="7:15" x14ac:dyDescent="0.25">
      <c r="G233">
        <v>231</v>
      </c>
      <c r="H233">
        <v>0.53485634267610627</v>
      </c>
      <c r="I233">
        <v>0.58263092027685859</v>
      </c>
      <c r="J233">
        <f t="shared" si="23"/>
        <v>11.162270510846019</v>
      </c>
      <c r="K233">
        <f t="shared" si="18"/>
        <v>2.9292052354017439</v>
      </c>
      <c r="L233">
        <f t="shared" si="19"/>
        <v>3.0553629443140262</v>
      </c>
      <c r="M233">
        <f t="shared" si="20"/>
        <v>0</v>
      </c>
      <c r="N233">
        <f t="shared" si="21"/>
        <v>3.2978789951889604</v>
      </c>
      <c r="O233">
        <f t="shared" si="22"/>
        <v>2033.8102260631192</v>
      </c>
    </row>
    <row r="234" spans="7:15" x14ac:dyDescent="0.25">
      <c r="G234">
        <v>232</v>
      </c>
      <c r="H234">
        <v>0.1891037570918459</v>
      </c>
      <c r="I234">
        <v>7.9372190485806127E-2</v>
      </c>
      <c r="J234">
        <f t="shared" si="23"/>
        <v>4.5929713847450717</v>
      </c>
      <c r="K234">
        <f t="shared" si="18"/>
        <v>1.7251065877360194</v>
      </c>
      <c r="L234">
        <f t="shared" si="19"/>
        <v>0</v>
      </c>
      <c r="M234">
        <f t="shared" si="20"/>
        <v>0</v>
      </c>
      <c r="N234">
        <f t="shared" si="21"/>
        <v>1.7251065877360194</v>
      </c>
      <c r="O234">
        <f t="shared" si="22"/>
        <v>45.148282397871505</v>
      </c>
    </row>
    <row r="235" spans="7:15" x14ac:dyDescent="0.25">
      <c r="G235">
        <v>233</v>
      </c>
      <c r="H235">
        <v>0.50305794321768138</v>
      </c>
      <c r="I235">
        <v>0.87163812216022674</v>
      </c>
      <c r="J235">
        <f t="shared" si="23"/>
        <v>10.558100921135946</v>
      </c>
      <c r="K235">
        <f t="shared" si="18"/>
        <v>2.8582208634642883</v>
      </c>
      <c r="L235">
        <f t="shared" si="19"/>
        <v>2.5233101632130395</v>
      </c>
      <c r="M235">
        <f t="shared" si="20"/>
        <v>0</v>
      </c>
      <c r="N235">
        <f t="shared" si="21"/>
        <v>3.0233096427791062</v>
      </c>
      <c r="O235">
        <f t="shared" si="22"/>
        <v>1202.3144921987396</v>
      </c>
    </row>
    <row r="236" spans="7:15" x14ac:dyDescent="0.25">
      <c r="G236">
        <v>234</v>
      </c>
      <c r="H236">
        <v>9.4485946254582509E-2</v>
      </c>
      <c r="I236">
        <v>5.4524811288212405E-2</v>
      </c>
      <c r="J236">
        <f t="shared" si="23"/>
        <v>2.7952329788370678</v>
      </c>
      <c r="K236">
        <f t="shared" si="18"/>
        <v>0.9215520793113654</v>
      </c>
      <c r="L236">
        <f t="shared" si="19"/>
        <v>0</v>
      </c>
      <c r="M236">
        <f t="shared" si="20"/>
        <v>0</v>
      </c>
      <c r="N236">
        <f t="shared" si="21"/>
        <v>0.9215520793113654</v>
      </c>
      <c r="O236">
        <f t="shared" si="22"/>
        <v>6.9410968710865291</v>
      </c>
    </row>
    <row r="237" spans="7:15" x14ac:dyDescent="0.25">
      <c r="G237">
        <v>235</v>
      </c>
      <c r="H237">
        <v>0.57872210778979283</v>
      </c>
      <c r="I237">
        <v>0.46686376823459474</v>
      </c>
      <c r="J237">
        <f t="shared" si="23"/>
        <v>11.995720048006064</v>
      </c>
      <c r="K237">
        <f t="shared" si="18"/>
        <v>3.0204930297092352</v>
      </c>
      <c r="L237">
        <f t="shared" si="19"/>
        <v>3.447466254045688</v>
      </c>
      <c r="M237">
        <f t="shared" si="20"/>
        <v>0</v>
      </c>
      <c r="N237">
        <f t="shared" si="21"/>
        <v>3.5854952301617962</v>
      </c>
      <c r="O237">
        <f t="shared" si="22"/>
        <v>3813.6201407801286</v>
      </c>
    </row>
    <row r="238" spans="7:15" x14ac:dyDescent="0.25">
      <c r="G238">
        <v>236</v>
      </c>
      <c r="H238">
        <v>0.78317043608857773</v>
      </c>
      <c r="I238">
        <v>0.80779564420727901</v>
      </c>
      <c r="J238">
        <f t="shared" si="23"/>
        <v>15.880238285682976</v>
      </c>
      <c r="K238">
        <f t="shared" si="18"/>
        <v>3.3708562609954793</v>
      </c>
      <c r="L238">
        <f t="shared" si="19"/>
        <v>4.2311894139889104</v>
      </c>
      <c r="M238">
        <f t="shared" si="20"/>
        <v>3.5170156607569369</v>
      </c>
      <c r="N238">
        <f t="shared" si="21"/>
        <v>4.3553844782825166</v>
      </c>
      <c r="O238">
        <f t="shared" si="22"/>
        <v>25053.855585528778</v>
      </c>
    </row>
    <row r="239" spans="7:15" x14ac:dyDescent="0.25">
      <c r="G239">
        <v>237</v>
      </c>
      <c r="H239">
        <v>0.42943459476419188</v>
      </c>
      <c r="I239">
        <v>0.58158172668710773</v>
      </c>
      <c r="J239">
        <f t="shared" si="23"/>
        <v>9.1592573005196449</v>
      </c>
      <c r="K239">
        <f t="shared" si="18"/>
        <v>2.6749649086341734</v>
      </c>
      <c r="L239">
        <f t="shared" si="19"/>
        <v>0</v>
      </c>
      <c r="M239">
        <f t="shared" si="20"/>
        <v>0</v>
      </c>
      <c r="N239">
        <f t="shared" si="21"/>
        <v>2.6749649086341734</v>
      </c>
      <c r="O239">
        <f t="shared" si="22"/>
        <v>484.46453202102163</v>
      </c>
    </row>
    <row r="240" spans="7:15" x14ac:dyDescent="0.25">
      <c r="G240">
        <v>238</v>
      </c>
      <c r="H240">
        <v>0.93584216967770595</v>
      </c>
      <c r="I240">
        <v>0.86254277058226858</v>
      </c>
      <c r="J240">
        <f t="shared" si="23"/>
        <v>18.781001223876412</v>
      </c>
      <c r="K240">
        <f t="shared" si="18"/>
        <v>3.5771131302818122</v>
      </c>
      <c r="L240">
        <f t="shared" si="19"/>
        <v>4.5220184314936986</v>
      </c>
      <c r="M240">
        <f t="shared" si="20"/>
        <v>4.5741366223068729</v>
      </c>
      <c r="N240">
        <f t="shared" si="21"/>
        <v>4.8724661196298218</v>
      </c>
      <c r="O240">
        <f t="shared" si="22"/>
        <v>84538.953168383421</v>
      </c>
    </row>
    <row r="241" spans="7:15" x14ac:dyDescent="0.25">
      <c r="G241">
        <v>239</v>
      </c>
      <c r="H241">
        <v>0.48669025938856159</v>
      </c>
      <c r="I241">
        <v>0.98743191151841458</v>
      </c>
      <c r="J241">
        <f t="shared" si="23"/>
        <v>10.24711492838267</v>
      </c>
      <c r="K241">
        <f t="shared" si="18"/>
        <v>2.8199132461984826</v>
      </c>
      <c r="L241">
        <f t="shared" si="19"/>
        <v>1.9324411888726143</v>
      </c>
      <c r="M241">
        <f t="shared" si="20"/>
        <v>0</v>
      </c>
      <c r="N241">
        <f t="shared" si="21"/>
        <v>2.8728290895698119</v>
      </c>
      <c r="O241">
        <f t="shared" si="22"/>
        <v>965.59334369935505</v>
      </c>
    </row>
    <row r="242" spans="7:15" x14ac:dyDescent="0.25">
      <c r="G242">
        <v>240</v>
      </c>
      <c r="H242">
        <v>0.12799891159134991</v>
      </c>
      <c r="I242">
        <v>0.55496786950710297</v>
      </c>
      <c r="J242">
        <f t="shared" si="23"/>
        <v>3.4319793202356483</v>
      </c>
      <c r="K242">
        <f t="shared" si="18"/>
        <v>1.2731229058657156</v>
      </c>
      <c r="L242">
        <f t="shared" si="19"/>
        <v>0</v>
      </c>
      <c r="M242">
        <f t="shared" si="20"/>
        <v>0</v>
      </c>
      <c r="N242">
        <f t="shared" si="21"/>
        <v>1.2731229058657156</v>
      </c>
      <c r="O242">
        <f t="shared" si="22"/>
        <v>19.056101204540433</v>
      </c>
    </row>
    <row r="243" spans="7:15" x14ac:dyDescent="0.25">
      <c r="G243">
        <v>241</v>
      </c>
      <c r="H243">
        <v>0.17314895648863871</v>
      </c>
      <c r="I243">
        <v>0.26617681214361821</v>
      </c>
      <c r="J243">
        <f t="shared" si="23"/>
        <v>4.2898301732841357</v>
      </c>
      <c r="K243">
        <f t="shared" si="18"/>
        <v>1.623025844004228</v>
      </c>
      <c r="L243">
        <f t="shared" si="19"/>
        <v>0</v>
      </c>
      <c r="M243">
        <f t="shared" si="20"/>
        <v>0</v>
      </c>
      <c r="N243">
        <f t="shared" si="21"/>
        <v>1.623025844004228</v>
      </c>
      <c r="O243">
        <f t="shared" si="22"/>
        <v>39.06654310931745</v>
      </c>
    </row>
    <row r="244" spans="7:15" x14ac:dyDescent="0.25">
      <c r="G244">
        <v>242</v>
      </c>
      <c r="H244">
        <v>0.33428031146815518</v>
      </c>
      <c r="I244">
        <v>0.97404779856338841</v>
      </c>
      <c r="J244">
        <f t="shared" si="23"/>
        <v>7.3513259178949486</v>
      </c>
      <c r="K244">
        <f t="shared" si="18"/>
        <v>2.3848682962920398</v>
      </c>
      <c r="L244">
        <f t="shared" si="19"/>
        <v>0</v>
      </c>
      <c r="M244">
        <f t="shared" si="20"/>
        <v>0</v>
      </c>
      <c r="N244">
        <f t="shared" si="21"/>
        <v>2.3848682962920398</v>
      </c>
      <c r="O244">
        <f t="shared" si="22"/>
        <v>303.43423944714209</v>
      </c>
    </row>
    <row r="245" spans="7:15" x14ac:dyDescent="0.25">
      <c r="G245">
        <v>243</v>
      </c>
      <c r="H245">
        <v>0.29258302860195906</v>
      </c>
      <c r="I245">
        <v>0.12837314957173374</v>
      </c>
      <c r="J245">
        <f t="shared" si="23"/>
        <v>6.5590775434372226</v>
      </c>
      <c r="K245">
        <f t="shared" si="18"/>
        <v>2.2305705174619241</v>
      </c>
      <c r="L245">
        <f t="shared" si="19"/>
        <v>0</v>
      </c>
      <c r="M245">
        <f t="shared" si="20"/>
        <v>0</v>
      </c>
      <c r="N245">
        <f t="shared" si="21"/>
        <v>2.2305705174619241</v>
      </c>
      <c r="O245">
        <f t="shared" si="22"/>
        <v>149.23296435825677</v>
      </c>
    </row>
    <row r="246" spans="7:15" x14ac:dyDescent="0.25">
      <c r="G246">
        <v>244</v>
      </c>
      <c r="H246">
        <v>0.76751359755551141</v>
      </c>
      <c r="I246">
        <v>0.58865157889077313</v>
      </c>
      <c r="J246">
        <f t="shared" si="23"/>
        <v>15.582758353554716</v>
      </c>
      <c r="K246">
        <f t="shared" si="18"/>
        <v>3.347469043457501</v>
      </c>
      <c r="L246">
        <f t="shared" si="19"/>
        <v>4.193537434783285</v>
      </c>
      <c r="M246">
        <f t="shared" si="20"/>
        <v>3.2178990440983077</v>
      </c>
      <c r="N246">
        <f t="shared" si="21"/>
        <v>4.28985922095658</v>
      </c>
      <c r="O246">
        <f t="shared" si="22"/>
        <v>20001.524849100235</v>
      </c>
    </row>
    <row r="247" spans="7:15" x14ac:dyDescent="0.25">
      <c r="G247">
        <v>245</v>
      </c>
      <c r="H247">
        <v>0.92579336593989658</v>
      </c>
      <c r="I247">
        <v>0.45664037358773324</v>
      </c>
      <c r="J247">
        <f t="shared" si="23"/>
        <v>18.590073952858035</v>
      </c>
      <c r="K247">
        <f t="shared" si="18"/>
        <v>3.564610339581181</v>
      </c>
      <c r="L247">
        <f t="shared" si="19"/>
        <v>4.5060747161274515</v>
      </c>
      <c r="M247">
        <f t="shared" si="20"/>
        <v>4.5365559056873561</v>
      </c>
      <c r="N247">
        <f t="shared" si="21"/>
        <v>4.8459505168812926</v>
      </c>
      <c r="O247">
        <f t="shared" si="22"/>
        <v>69263.662149115029</v>
      </c>
    </row>
    <row r="248" spans="7:15" x14ac:dyDescent="0.25">
      <c r="G248">
        <v>246</v>
      </c>
      <c r="H248">
        <v>0.22317890626715642</v>
      </c>
      <c r="I248">
        <v>9.1163952163858086E-2</v>
      </c>
      <c r="J248">
        <f t="shared" si="23"/>
        <v>5.2403992190759716</v>
      </c>
      <c r="K248">
        <f t="shared" si="18"/>
        <v>1.9169812209630595</v>
      </c>
      <c r="L248">
        <f t="shared" si="19"/>
        <v>0</v>
      </c>
      <c r="M248">
        <f t="shared" si="20"/>
        <v>0</v>
      </c>
      <c r="N248">
        <f t="shared" si="21"/>
        <v>1.9169812209630595</v>
      </c>
      <c r="O248">
        <f t="shared" si="22"/>
        <v>70.843521588503549</v>
      </c>
    </row>
    <row r="249" spans="7:15" x14ac:dyDescent="0.25">
      <c r="G249">
        <v>247</v>
      </c>
      <c r="H249">
        <v>0.62276287746854719</v>
      </c>
      <c r="I249">
        <v>0.65625944808536818</v>
      </c>
      <c r="J249">
        <f t="shared" si="23"/>
        <v>12.832494671902397</v>
      </c>
      <c r="K249">
        <f t="shared" si="18"/>
        <v>3.1054334122247367</v>
      </c>
      <c r="L249">
        <f t="shared" si="19"/>
        <v>3.7014222882350465</v>
      </c>
      <c r="M249">
        <f t="shared" si="20"/>
        <v>0</v>
      </c>
      <c r="N249">
        <f t="shared" si="21"/>
        <v>3.7995533328693143</v>
      </c>
      <c r="O249">
        <f t="shared" si="22"/>
        <v>6601.8723083228524</v>
      </c>
    </row>
    <row r="250" spans="7:15" x14ac:dyDescent="0.25">
      <c r="G250">
        <v>248</v>
      </c>
      <c r="H250">
        <v>0.94475802134211939</v>
      </c>
      <c r="I250">
        <v>0.15401019522447956</v>
      </c>
      <c r="J250">
        <f t="shared" si="23"/>
        <v>18.95040240550027</v>
      </c>
      <c r="K250">
        <f t="shared" si="18"/>
        <v>3.5880944023499697</v>
      </c>
      <c r="L250">
        <f t="shared" si="19"/>
        <v>4.5358769661186198</v>
      </c>
      <c r="M250">
        <f t="shared" si="20"/>
        <v>4.6059242692056346</v>
      </c>
      <c r="N250">
        <f t="shared" si="21"/>
        <v>4.8952953493574825</v>
      </c>
      <c r="O250">
        <f t="shared" si="22"/>
        <v>69875.69119135353</v>
      </c>
    </row>
    <row r="251" spans="7:15" x14ac:dyDescent="0.25">
      <c r="G251">
        <v>249</v>
      </c>
      <c r="H251">
        <v>0.4313081074043007</v>
      </c>
      <c r="I251">
        <v>0.56966963824377825</v>
      </c>
      <c r="J251">
        <f t="shared" si="23"/>
        <v>9.1948540406817134</v>
      </c>
      <c r="K251">
        <f t="shared" si="18"/>
        <v>2.6800064925858256</v>
      </c>
      <c r="L251">
        <f t="shared" si="19"/>
        <v>0</v>
      </c>
      <c r="M251">
        <f t="shared" si="20"/>
        <v>0</v>
      </c>
      <c r="N251">
        <f t="shared" si="21"/>
        <v>2.6800064925858256</v>
      </c>
      <c r="O251">
        <f t="shared" si="22"/>
        <v>488.40842872897127</v>
      </c>
    </row>
    <row r="252" spans="7:15" x14ac:dyDescent="0.25">
      <c r="G252">
        <v>250</v>
      </c>
      <c r="H252">
        <v>0.59949428657713832</v>
      </c>
      <c r="I252">
        <v>0.61630805904667718</v>
      </c>
      <c r="J252">
        <f t="shared" si="23"/>
        <v>12.390391444965628</v>
      </c>
      <c r="K252">
        <f t="shared" si="18"/>
        <v>3.0613329637592823</v>
      </c>
      <c r="L252">
        <f t="shared" si="19"/>
        <v>3.5783431616971271</v>
      </c>
      <c r="M252">
        <f t="shared" si="20"/>
        <v>0</v>
      </c>
      <c r="N252">
        <f t="shared" si="21"/>
        <v>3.6936478497457941</v>
      </c>
      <c r="O252">
        <f t="shared" si="22"/>
        <v>5110.198620849992</v>
      </c>
    </row>
    <row r="253" spans="7:15" x14ac:dyDescent="0.25">
      <c r="G253">
        <v>251</v>
      </c>
      <c r="H253">
        <v>0.93346935848340296</v>
      </c>
      <c r="I253">
        <v>0.33988045167886949</v>
      </c>
      <c r="J253">
        <f t="shared" si="23"/>
        <v>18.735917811184656</v>
      </c>
      <c r="K253">
        <f t="shared" si="18"/>
        <v>3.5741730122152435</v>
      </c>
      <c r="L253">
        <f t="shared" si="19"/>
        <v>4.5182851494801319</v>
      </c>
      <c r="M253">
        <f t="shared" si="20"/>
        <v>4.5654367496328065</v>
      </c>
      <c r="N253">
        <f t="shared" si="21"/>
        <v>4.866281598558456</v>
      </c>
      <c r="O253">
        <f t="shared" si="22"/>
        <v>70087.751504208587</v>
      </c>
    </row>
    <row r="254" spans="7:15" x14ac:dyDescent="0.25">
      <c r="G254">
        <v>252</v>
      </c>
      <c r="H254">
        <v>1.3728895060928781E-2</v>
      </c>
      <c r="I254">
        <v>0.95171407130324881</v>
      </c>
      <c r="J254">
        <f t="shared" si="23"/>
        <v>1.2608490061576467</v>
      </c>
      <c r="K254">
        <f t="shared" si="18"/>
        <v>-1.3123989376237002</v>
      </c>
      <c r="L254">
        <f t="shared" si="19"/>
        <v>0</v>
      </c>
      <c r="M254">
        <f t="shared" si="20"/>
        <v>0</v>
      </c>
      <c r="N254">
        <f t="shared" si="21"/>
        <v>-1.3123989376237002</v>
      </c>
      <c r="O254">
        <f t="shared" si="22"/>
        <v>5.8977496363334082E-2</v>
      </c>
    </row>
    <row r="255" spans="7:15" x14ac:dyDescent="0.25">
      <c r="G255">
        <v>253</v>
      </c>
      <c r="H255">
        <v>0.38338786928408575</v>
      </c>
      <c r="I255">
        <v>0.29196370479870959</v>
      </c>
      <c r="J255">
        <f t="shared" si="23"/>
        <v>8.2843695163976285</v>
      </c>
      <c r="K255">
        <f t="shared" si="18"/>
        <v>2.5436084807264083</v>
      </c>
      <c r="L255">
        <f t="shared" si="19"/>
        <v>0</v>
      </c>
      <c r="M255">
        <f t="shared" si="20"/>
        <v>0</v>
      </c>
      <c r="N255">
        <f t="shared" si="21"/>
        <v>2.5436084807264083</v>
      </c>
      <c r="O255">
        <f t="shared" si="22"/>
        <v>328.26579220942591</v>
      </c>
    </row>
    <row r="256" spans="7:15" x14ac:dyDescent="0.25">
      <c r="G256">
        <v>254</v>
      </c>
      <c r="H256">
        <v>0.59821853626892008</v>
      </c>
      <c r="I256">
        <v>0.90826726029320937</v>
      </c>
      <c r="J256">
        <f t="shared" si="23"/>
        <v>12.366152189109481</v>
      </c>
      <c r="K256">
        <f t="shared" si="18"/>
        <v>3.0588658101729407</v>
      </c>
      <c r="L256">
        <f t="shared" si="19"/>
        <v>3.5709511552780935</v>
      </c>
      <c r="M256">
        <f t="shared" si="20"/>
        <v>0</v>
      </c>
      <c r="N256">
        <f t="shared" si="21"/>
        <v>3.6874092071234079</v>
      </c>
      <c r="O256">
        <f t="shared" si="22"/>
        <v>5674.364363765093</v>
      </c>
    </row>
    <row r="257" spans="7:15" x14ac:dyDescent="0.25">
      <c r="G257">
        <v>255</v>
      </c>
      <c r="H257">
        <v>0.44439828974121831</v>
      </c>
      <c r="I257">
        <v>3.8504281730305623E-2</v>
      </c>
      <c r="J257">
        <f t="shared" si="23"/>
        <v>9.4435675050831485</v>
      </c>
      <c r="K257">
        <f t="shared" si="18"/>
        <v>2.7146325116124732</v>
      </c>
      <c r="L257">
        <f t="shared" si="19"/>
        <v>0</v>
      </c>
      <c r="M257">
        <f t="shared" si="20"/>
        <v>0</v>
      </c>
      <c r="N257">
        <f t="shared" si="21"/>
        <v>2.7146325116124732</v>
      </c>
      <c r="O257">
        <f t="shared" si="22"/>
        <v>422.8797150367617</v>
      </c>
    </row>
    <row r="258" spans="7:15" x14ac:dyDescent="0.25">
      <c r="G258">
        <v>256</v>
      </c>
      <c r="H258">
        <v>0.39789103489257027</v>
      </c>
      <c r="I258">
        <v>0.90440800550347911</v>
      </c>
      <c r="J258">
        <f t="shared" si="23"/>
        <v>8.5599296629588348</v>
      </c>
      <c r="K258">
        <f t="shared" si="18"/>
        <v>2.5866105783458164</v>
      </c>
      <c r="L258">
        <f t="shared" si="19"/>
        <v>0</v>
      </c>
      <c r="M258">
        <f t="shared" si="20"/>
        <v>0</v>
      </c>
      <c r="N258">
        <f t="shared" si="21"/>
        <v>2.5866105783458164</v>
      </c>
      <c r="O258">
        <f t="shared" si="22"/>
        <v>448.70902753425537</v>
      </c>
    </row>
    <row r="259" spans="7:15" x14ac:dyDescent="0.25">
      <c r="G259">
        <v>257</v>
      </c>
      <c r="H259">
        <v>0.83192074899803348</v>
      </c>
      <c r="I259">
        <v>0.1379239435431705</v>
      </c>
      <c r="J259">
        <f t="shared" si="23"/>
        <v>16.806494230962635</v>
      </c>
      <c r="K259">
        <f t="shared" ref="K259:K302" si="24">$E$7+$D$8*LOG10(J259-$D$6)</f>
        <v>3.4407913844295073</v>
      </c>
      <c r="L259">
        <f t="shared" ref="L259:L302" si="25">IF(J259&gt;=$D$14,$E$15+$D$16*LOG10(J259-$D$14), 0)</f>
        <v>4.3372821014223701</v>
      </c>
      <c r="M259">
        <f t="shared" ref="M259:M302" si="26">IF(J259&gt;=$D$22,$E$23+$D$24*LOG10(J259-$D$22), 0)</f>
        <v>4.0384503232561739</v>
      </c>
      <c r="N259">
        <f t="shared" ref="N259:N302" si="27">IF(J259&lt;$D$14,K259,IF(AND(J259&gt;=$D$14,J259&lt;$D$22),LOG10(10^K259+10^L259),LOG10(10^K259+10^L259+10^M259)))</f>
        <v>4.5493234423471707</v>
      </c>
      <c r="O259">
        <f t="shared" ref="O259:O302" si="28">10^(N259+_xlfn.NORM.INV(I259, 0, $D$26))</f>
        <v>31249.187801879325</v>
      </c>
    </row>
    <row r="260" spans="7:15" x14ac:dyDescent="0.25">
      <c r="G260">
        <v>258</v>
      </c>
      <c r="H260">
        <v>0.71368202970518391</v>
      </c>
      <c r="I260">
        <v>0.55305280632004106</v>
      </c>
      <c r="J260">
        <f t="shared" ref="J260:J302" si="29">$D$6 + H260*(20-$D$6)</f>
        <v>14.559958564398494</v>
      </c>
      <c r="K260">
        <f t="shared" si="24"/>
        <v>3.2632521985325815</v>
      </c>
      <c r="L260">
        <f t="shared" si="25"/>
        <v>4.0467645854135084</v>
      </c>
      <c r="M260">
        <f t="shared" si="26"/>
        <v>0</v>
      </c>
      <c r="N260">
        <f t="shared" si="27"/>
        <v>4.1129495383677845</v>
      </c>
      <c r="O260">
        <f t="shared" si="28"/>
        <v>13170.99066398357</v>
      </c>
    </row>
    <row r="261" spans="7:15" x14ac:dyDescent="0.25">
      <c r="G261">
        <v>259</v>
      </c>
      <c r="H261">
        <v>9.917589472286803E-2</v>
      </c>
      <c r="I261">
        <v>0.33639032904087496</v>
      </c>
      <c r="J261">
        <f t="shared" si="29"/>
        <v>2.8843419997344926</v>
      </c>
      <c r="K261">
        <f t="shared" si="24"/>
        <v>0.9776558403776322</v>
      </c>
      <c r="L261">
        <f t="shared" si="25"/>
        <v>0</v>
      </c>
      <c r="M261">
        <f t="shared" si="26"/>
        <v>0</v>
      </c>
      <c r="N261">
        <f t="shared" si="27"/>
        <v>0.9776558403776322</v>
      </c>
      <c r="O261">
        <f t="shared" si="28"/>
        <v>9.0477189207522439</v>
      </c>
    </row>
    <row r="262" spans="7:15" x14ac:dyDescent="0.25">
      <c r="G262">
        <v>260</v>
      </c>
      <c r="H262">
        <v>0.55378798666032658</v>
      </c>
      <c r="I262">
        <v>0.29817885089438823</v>
      </c>
      <c r="J262">
        <f t="shared" si="29"/>
        <v>11.521971746546205</v>
      </c>
      <c r="K262">
        <f t="shared" si="24"/>
        <v>2.9694889154810653</v>
      </c>
      <c r="L262">
        <f t="shared" si="25"/>
        <v>3.2509188945106855</v>
      </c>
      <c r="M262">
        <f t="shared" si="26"/>
        <v>0</v>
      </c>
      <c r="N262">
        <f t="shared" si="27"/>
        <v>3.4336422643838111</v>
      </c>
      <c r="O262">
        <f t="shared" si="28"/>
        <v>2553.6418466645378</v>
      </c>
    </row>
    <row r="263" spans="7:15" x14ac:dyDescent="0.25">
      <c r="G263">
        <v>261</v>
      </c>
      <c r="H263">
        <v>0.34495604968925564</v>
      </c>
      <c r="I263">
        <v>0.78041860939035024</v>
      </c>
      <c r="J263">
        <f t="shared" si="29"/>
        <v>7.5541649440958576</v>
      </c>
      <c r="K263">
        <f t="shared" si="24"/>
        <v>2.4212762100649043</v>
      </c>
      <c r="L263">
        <f t="shared" si="25"/>
        <v>0</v>
      </c>
      <c r="M263">
        <f t="shared" si="26"/>
        <v>0</v>
      </c>
      <c r="N263">
        <f t="shared" si="27"/>
        <v>2.4212762100649043</v>
      </c>
      <c r="O263">
        <f t="shared" si="28"/>
        <v>288.37432973730154</v>
      </c>
    </row>
    <row r="264" spans="7:15" x14ac:dyDescent="0.25">
      <c r="G264">
        <v>262</v>
      </c>
      <c r="H264">
        <v>0.4811221367331272</v>
      </c>
      <c r="I264">
        <v>0.99198542138136359</v>
      </c>
      <c r="J264">
        <f t="shared" si="29"/>
        <v>10.141320597929417</v>
      </c>
      <c r="K264">
        <f t="shared" si="24"/>
        <v>2.806587073286781</v>
      </c>
      <c r="L264">
        <f t="shared" si="25"/>
        <v>1.5271430172360512</v>
      </c>
      <c r="M264">
        <f t="shared" si="26"/>
        <v>0</v>
      </c>
      <c r="N264">
        <f t="shared" si="27"/>
        <v>2.8288289713011578</v>
      </c>
      <c r="O264">
        <f t="shared" si="28"/>
        <v>889.69575903264786</v>
      </c>
    </row>
    <row r="265" spans="7:15" x14ac:dyDescent="0.25">
      <c r="G265">
        <v>263</v>
      </c>
      <c r="H265">
        <v>0.15140202851820961</v>
      </c>
      <c r="I265">
        <v>0.58532778115606343</v>
      </c>
      <c r="J265">
        <f t="shared" si="29"/>
        <v>3.8766385418459826</v>
      </c>
      <c r="K265">
        <f t="shared" si="24"/>
        <v>1.4675906851590399</v>
      </c>
      <c r="L265">
        <f t="shared" si="25"/>
        <v>0</v>
      </c>
      <c r="M265">
        <f t="shared" si="26"/>
        <v>0</v>
      </c>
      <c r="N265">
        <f t="shared" si="27"/>
        <v>1.4675906851590399</v>
      </c>
      <c r="O265">
        <f t="shared" si="28"/>
        <v>30.086232442477563</v>
      </c>
    </row>
    <row r="266" spans="7:15" x14ac:dyDescent="0.25">
      <c r="G266">
        <v>264</v>
      </c>
      <c r="H266">
        <v>0.74986371988096368</v>
      </c>
      <c r="I266">
        <v>0.48330445221706908</v>
      </c>
      <c r="J266">
        <f t="shared" si="29"/>
        <v>15.24741067773831</v>
      </c>
      <c r="K266">
        <f t="shared" si="24"/>
        <v>3.3205257464178781</v>
      </c>
      <c r="L266">
        <f t="shared" si="25"/>
        <v>4.1486081298886157</v>
      </c>
      <c r="M266">
        <f t="shared" si="26"/>
        <v>2.5965420294076651</v>
      </c>
      <c r="N266">
        <f t="shared" si="27"/>
        <v>4.219242675256762</v>
      </c>
      <c r="O266">
        <f t="shared" si="28"/>
        <v>16487.301789269233</v>
      </c>
    </row>
    <row r="267" spans="7:15" x14ac:dyDescent="0.25">
      <c r="G267">
        <v>265</v>
      </c>
      <c r="H267">
        <v>0.56835346530191766</v>
      </c>
      <c r="I267">
        <v>0.90126287099727587</v>
      </c>
      <c r="J267">
        <f t="shared" si="29"/>
        <v>11.798715840736435</v>
      </c>
      <c r="K267">
        <f t="shared" si="24"/>
        <v>2.9995555339417126</v>
      </c>
      <c r="L267">
        <f t="shared" si="25"/>
        <v>3.3720873627126262</v>
      </c>
      <c r="M267">
        <f t="shared" si="26"/>
        <v>0</v>
      </c>
      <c r="N267">
        <f t="shared" si="27"/>
        <v>3.5256278190039572</v>
      </c>
      <c r="O267">
        <f t="shared" si="28"/>
        <v>3891.0504830614373</v>
      </c>
    </row>
    <row r="268" spans="7:15" x14ac:dyDescent="0.25">
      <c r="G268">
        <v>266</v>
      </c>
      <c r="H268">
        <v>0.9413539811967655</v>
      </c>
      <c r="I268">
        <v>0.80892308308000271</v>
      </c>
      <c r="J268">
        <f t="shared" si="29"/>
        <v>18.885725642738546</v>
      </c>
      <c r="K268">
        <f t="shared" si="24"/>
        <v>3.5839140710173529</v>
      </c>
      <c r="L268">
        <f t="shared" si="25"/>
        <v>4.5306170311555292</v>
      </c>
      <c r="M268">
        <f t="shared" si="26"/>
        <v>4.5939516990555598</v>
      </c>
      <c r="N268">
        <f t="shared" si="27"/>
        <v>4.8866544397649863</v>
      </c>
      <c r="O268">
        <f t="shared" si="28"/>
        <v>85182.655190200952</v>
      </c>
    </row>
    <row r="269" spans="7:15" x14ac:dyDescent="0.25">
      <c r="G269">
        <v>267</v>
      </c>
      <c r="H269">
        <v>0.74438395302720273</v>
      </c>
      <c r="I269">
        <v>1.6120540502591041E-2</v>
      </c>
      <c r="J269">
        <f t="shared" si="29"/>
        <v>15.143295107516852</v>
      </c>
      <c r="K269">
        <f t="shared" si="24"/>
        <v>3.3120315073669437</v>
      </c>
      <c r="L269">
        <f t="shared" si="25"/>
        <v>4.1340730993849313</v>
      </c>
      <c r="M269">
        <f t="shared" si="26"/>
        <v>2.2004396119902285</v>
      </c>
      <c r="N269">
        <f t="shared" si="27"/>
        <v>4.1993903535397168</v>
      </c>
      <c r="O269">
        <f t="shared" si="28"/>
        <v>12368.581938550336</v>
      </c>
    </row>
    <row r="270" spans="7:15" x14ac:dyDescent="0.25">
      <c r="G270">
        <v>268</v>
      </c>
      <c r="H270">
        <v>0.39745847733673489</v>
      </c>
      <c r="I270">
        <v>0.25682204731259872</v>
      </c>
      <c r="J270">
        <f t="shared" si="29"/>
        <v>8.5517110693979639</v>
      </c>
      <c r="K270">
        <f t="shared" si="24"/>
        <v>2.5853508730197063</v>
      </c>
      <c r="L270">
        <f t="shared" si="25"/>
        <v>0</v>
      </c>
      <c r="M270">
        <f t="shared" si="26"/>
        <v>0</v>
      </c>
      <c r="N270">
        <f t="shared" si="27"/>
        <v>2.5853508730197063</v>
      </c>
      <c r="O270">
        <f t="shared" si="28"/>
        <v>357.01969269083236</v>
      </c>
    </row>
    <row r="271" spans="7:15" x14ac:dyDescent="0.25">
      <c r="G271">
        <v>269</v>
      </c>
      <c r="H271">
        <v>0.23544548006365029</v>
      </c>
      <c r="I271">
        <v>0.24393039601590016</v>
      </c>
      <c r="J271">
        <f t="shared" si="29"/>
        <v>5.4734641212093553</v>
      </c>
      <c r="K271">
        <f t="shared" si="24"/>
        <v>1.9789471213324226</v>
      </c>
      <c r="L271">
        <f t="shared" si="25"/>
        <v>0</v>
      </c>
      <c r="M271">
        <f t="shared" si="26"/>
        <v>0</v>
      </c>
      <c r="N271">
        <f t="shared" si="27"/>
        <v>1.9789471213324226</v>
      </c>
      <c r="O271">
        <f t="shared" si="28"/>
        <v>87.955167127170625</v>
      </c>
    </row>
    <row r="272" spans="7:15" x14ac:dyDescent="0.25">
      <c r="G272">
        <v>270</v>
      </c>
      <c r="H272">
        <v>0.82908324891299856</v>
      </c>
      <c r="I272">
        <v>0.3679993954657852</v>
      </c>
      <c r="J272">
        <f t="shared" si="29"/>
        <v>16.752581729346971</v>
      </c>
      <c r="K272">
        <f t="shared" si="24"/>
        <v>3.4368345428095886</v>
      </c>
      <c r="L272">
        <f t="shared" si="25"/>
        <v>4.331514536959677</v>
      </c>
      <c r="M272">
        <f t="shared" si="26"/>
        <v>4.0164759637197118</v>
      </c>
      <c r="N272">
        <f t="shared" si="27"/>
        <v>4.5387646667213177</v>
      </c>
      <c r="O272">
        <f t="shared" si="28"/>
        <v>33258.819692543839</v>
      </c>
    </row>
    <row r="273" spans="7:15" x14ac:dyDescent="0.25">
      <c r="G273">
        <v>271</v>
      </c>
      <c r="H273">
        <v>0.3933003521157572</v>
      </c>
      <c r="I273">
        <v>0.91654254138445268</v>
      </c>
      <c r="J273">
        <f t="shared" si="29"/>
        <v>8.4727066901993879</v>
      </c>
      <c r="K273">
        <f t="shared" si="24"/>
        <v>2.5731710618244885</v>
      </c>
      <c r="L273">
        <f t="shared" si="25"/>
        <v>0</v>
      </c>
      <c r="M273">
        <f t="shared" si="26"/>
        <v>0</v>
      </c>
      <c r="N273">
        <f t="shared" si="27"/>
        <v>2.5731710618244885</v>
      </c>
      <c r="O273">
        <f t="shared" si="28"/>
        <v>438.81383311775693</v>
      </c>
    </row>
    <row r="274" spans="7:15" x14ac:dyDescent="0.25">
      <c r="G274">
        <v>272</v>
      </c>
      <c r="H274">
        <v>0.25260849068124347</v>
      </c>
      <c r="I274">
        <v>0.15154759761440451</v>
      </c>
      <c r="J274">
        <f t="shared" si="29"/>
        <v>5.7995613229436263</v>
      </c>
      <c r="K274">
        <f t="shared" si="24"/>
        <v>2.0604340184956347</v>
      </c>
      <c r="L274">
        <f t="shared" si="25"/>
        <v>0</v>
      </c>
      <c r="M274">
        <f t="shared" si="26"/>
        <v>0</v>
      </c>
      <c r="N274">
        <f t="shared" si="27"/>
        <v>2.0604340184956347</v>
      </c>
      <c r="O274">
        <f t="shared" si="28"/>
        <v>102.08057118011803</v>
      </c>
    </row>
    <row r="275" spans="7:15" x14ac:dyDescent="0.25">
      <c r="G275">
        <v>273</v>
      </c>
      <c r="H275">
        <v>0.35738836059217305</v>
      </c>
      <c r="I275">
        <v>0.46865527504024274</v>
      </c>
      <c r="J275">
        <f t="shared" si="29"/>
        <v>7.7903788512512877</v>
      </c>
      <c r="K275">
        <f t="shared" si="24"/>
        <v>2.4622805793977478</v>
      </c>
      <c r="L275">
        <f t="shared" si="25"/>
        <v>0</v>
      </c>
      <c r="M275">
        <f t="shared" si="26"/>
        <v>0</v>
      </c>
      <c r="N275">
        <f t="shared" si="27"/>
        <v>2.4622805793977478</v>
      </c>
      <c r="O275">
        <f t="shared" si="28"/>
        <v>287.3082190599763</v>
      </c>
    </row>
    <row r="276" spans="7:15" x14ac:dyDescent="0.25">
      <c r="G276">
        <v>274</v>
      </c>
      <c r="H276">
        <v>0.6678807502010925</v>
      </c>
      <c r="I276">
        <v>7.8215482915588108E-2</v>
      </c>
      <c r="J276">
        <f t="shared" si="29"/>
        <v>13.689734253820758</v>
      </c>
      <c r="K276">
        <f t="shared" si="24"/>
        <v>3.1864366380684421</v>
      </c>
      <c r="L276">
        <f t="shared" si="25"/>
        <v>3.8931816855892798</v>
      </c>
      <c r="M276">
        <f t="shared" si="26"/>
        <v>0</v>
      </c>
      <c r="N276">
        <f t="shared" si="27"/>
        <v>3.9710767189611333</v>
      </c>
      <c r="O276">
        <f t="shared" si="28"/>
        <v>7947.2675039108808</v>
      </c>
    </row>
    <row r="277" spans="7:15" x14ac:dyDescent="0.25">
      <c r="G277">
        <v>275</v>
      </c>
      <c r="H277">
        <v>0.14322879405077293</v>
      </c>
      <c r="I277">
        <v>0.73732897853695611</v>
      </c>
      <c r="J277">
        <f t="shared" si="29"/>
        <v>3.7213470869646859</v>
      </c>
      <c r="K277">
        <f t="shared" si="24"/>
        <v>1.4033203953317928</v>
      </c>
      <c r="L277">
        <f t="shared" si="25"/>
        <v>0</v>
      </c>
      <c r="M277">
        <f t="shared" si="26"/>
        <v>0</v>
      </c>
      <c r="N277">
        <f t="shared" si="27"/>
        <v>1.4033203953317928</v>
      </c>
      <c r="O277">
        <f t="shared" si="28"/>
        <v>27.231841911057732</v>
      </c>
    </row>
    <row r="278" spans="7:15" x14ac:dyDescent="0.25">
      <c r="G278">
        <v>276</v>
      </c>
      <c r="H278">
        <v>0.72160696007693859</v>
      </c>
      <c r="I278">
        <v>7.594464561832226E-2</v>
      </c>
      <c r="J278">
        <f t="shared" si="29"/>
        <v>14.710532241461832</v>
      </c>
      <c r="K278">
        <f t="shared" si="24"/>
        <v>3.2760414037025836</v>
      </c>
      <c r="L278">
        <f t="shared" si="25"/>
        <v>4.0703267563122001</v>
      </c>
      <c r="M278">
        <f t="shared" si="26"/>
        <v>0</v>
      </c>
      <c r="N278">
        <f t="shared" si="27"/>
        <v>4.1350050477238511</v>
      </c>
      <c r="O278">
        <f t="shared" si="28"/>
        <v>11570.724429584245</v>
      </c>
    </row>
    <row r="279" spans="7:15" x14ac:dyDescent="0.25">
      <c r="G279">
        <v>277</v>
      </c>
      <c r="H279">
        <v>0.78944059595247629</v>
      </c>
      <c r="I279">
        <v>0.67780029211099435</v>
      </c>
      <c r="J279">
        <f t="shared" si="29"/>
        <v>15.99937132309705</v>
      </c>
      <c r="K279">
        <f t="shared" si="24"/>
        <v>3.3800913829808947</v>
      </c>
      <c r="L279">
        <f t="shared" si="25"/>
        <v>4.2457364791165348</v>
      </c>
      <c r="M279">
        <f t="shared" si="26"/>
        <v>3.6090771313415644</v>
      </c>
      <c r="N279">
        <f t="shared" si="27"/>
        <v>4.3815404147650208</v>
      </c>
      <c r="O279">
        <f t="shared" si="28"/>
        <v>25387.400736177104</v>
      </c>
    </row>
    <row r="280" spans="7:15" x14ac:dyDescent="0.25">
      <c r="G280">
        <v>278</v>
      </c>
      <c r="H280">
        <v>0.78171355795293163</v>
      </c>
      <c r="I280">
        <v>0.43923141782813724</v>
      </c>
      <c r="J280">
        <f t="shared" si="29"/>
        <v>15.852557601105701</v>
      </c>
      <c r="K280">
        <f t="shared" si="24"/>
        <v>3.3686998862258135</v>
      </c>
      <c r="L280">
        <f t="shared" si="25"/>
        <v>4.2277672021053263</v>
      </c>
      <c r="M280">
        <f t="shared" si="26"/>
        <v>3.4938418667330118</v>
      </c>
      <c r="N280">
        <f t="shared" si="27"/>
        <v>4.3492838637397462</v>
      </c>
      <c r="O280">
        <f t="shared" si="28"/>
        <v>21960.284240985529</v>
      </c>
    </row>
    <row r="281" spans="7:15" x14ac:dyDescent="0.25">
      <c r="G281">
        <v>279</v>
      </c>
      <c r="H281">
        <v>0.95737881857512608</v>
      </c>
      <c r="I281">
        <v>0.31497933767795205</v>
      </c>
      <c r="J281">
        <f t="shared" si="29"/>
        <v>19.190197552927394</v>
      </c>
      <c r="K281">
        <f t="shared" si="24"/>
        <v>3.6034630072204736</v>
      </c>
      <c r="L281">
        <f t="shared" si="25"/>
        <v>4.5550523832201026</v>
      </c>
      <c r="M281">
        <f t="shared" si="26"/>
        <v>4.6486648494950416</v>
      </c>
      <c r="N281">
        <f t="shared" si="27"/>
        <v>4.9265518883074275</v>
      </c>
      <c r="O281">
        <f t="shared" si="28"/>
        <v>79884.521387444038</v>
      </c>
    </row>
    <row r="282" spans="7:15" x14ac:dyDescent="0.25">
      <c r="G282">
        <v>280</v>
      </c>
      <c r="H282">
        <v>0.14676274112333809</v>
      </c>
      <c r="I282">
        <v>4.7275768637457749E-2</v>
      </c>
      <c r="J282">
        <f t="shared" si="29"/>
        <v>3.7884920813434237</v>
      </c>
      <c r="K282">
        <f t="shared" si="24"/>
        <v>1.4315483401072058</v>
      </c>
      <c r="L282">
        <f t="shared" si="25"/>
        <v>0</v>
      </c>
      <c r="M282">
        <f t="shared" si="26"/>
        <v>0</v>
      </c>
      <c r="N282">
        <f t="shared" si="27"/>
        <v>1.4315483401072058</v>
      </c>
      <c r="O282">
        <f t="shared" si="28"/>
        <v>22.282054905103376</v>
      </c>
    </row>
    <row r="283" spans="7:15" x14ac:dyDescent="0.25">
      <c r="G283">
        <v>281</v>
      </c>
      <c r="H283">
        <v>0.99441854298392685</v>
      </c>
      <c r="I283">
        <v>0.98503191043371918</v>
      </c>
      <c r="J283">
        <f t="shared" si="29"/>
        <v>19.893952316694609</v>
      </c>
      <c r="K283">
        <f t="shared" si="24"/>
        <v>3.6474240719524946</v>
      </c>
      <c r="L283">
        <f t="shared" si="25"/>
        <v>4.6085674762325644</v>
      </c>
      <c r="M283">
        <f t="shared" si="26"/>
        <v>4.7612649914087068</v>
      </c>
      <c r="N283">
        <f t="shared" si="27"/>
        <v>5.0118077988383707</v>
      </c>
      <c r="O283">
        <f t="shared" si="28"/>
        <v>131933.31881414927</v>
      </c>
    </row>
    <row r="284" spans="7:15" x14ac:dyDescent="0.25">
      <c r="G284">
        <v>282</v>
      </c>
      <c r="H284">
        <v>0.28678667598135654</v>
      </c>
      <c r="I284">
        <v>8.3281491721458156E-2</v>
      </c>
      <c r="J284">
        <f t="shared" si="29"/>
        <v>6.448946843645774</v>
      </c>
      <c r="K284">
        <f t="shared" si="24"/>
        <v>2.2073967552978737</v>
      </c>
      <c r="L284">
        <f t="shared" si="25"/>
        <v>0</v>
      </c>
      <c r="M284">
        <f t="shared" si="26"/>
        <v>0</v>
      </c>
      <c r="N284">
        <f t="shared" si="27"/>
        <v>2.2073967552978737</v>
      </c>
      <c r="O284">
        <f t="shared" si="28"/>
        <v>137.47702892802695</v>
      </c>
    </row>
    <row r="285" spans="7:15" x14ac:dyDescent="0.25">
      <c r="G285">
        <v>283</v>
      </c>
      <c r="H285">
        <v>0.93963035298880693</v>
      </c>
      <c r="I285">
        <v>0.24321225671453528</v>
      </c>
      <c r="J285">
        <f t="shared" si="29"/>
        <v>18.852976706787331</v>
      </c>
      <c r="K285">
        <f t="shared" si="24"/>
        <v>3.5817916009453912</v>
      </c>
      <c r="L285">
        <f t="shared" si="25"/>
        <v>4.5279390555354091</v>
      </c>
      <c r="M285">
        <f t="shared" si="26"/>
        <v>4.5878131967738716</v>
      </c>
      <c r="N285">
        <f t="shared" si="27"/>
        <v>4.8822439452516706</v>
      </c>
      <c r="O285">
        <f t="shared" si="28"/>
        <v>70379.082467544853</v>
      </c>
    </row>
    <row r="286" spans="7:15" x14ac:dyDescent="0.25">
      <c r="G286">
        <v>284</v>
      </c>
      <c r="H286">
        <v>0.92513750070357692</v>
      </c>
      <c r="I286">
        <v>0.23371583172299781</v>
      </c>
      <c r="J286">
        <f t="shared" si="29"/>
        <v>18.57761251336796</v>
      </c>
      <c r="K286">
        <f t="shared" si="24"/>
        <v>3.5637895960441557</v>
      </c>
      <c r="L286">
        <f t="shared" si="25"/>
        <v>4.505021815718889</v>
      </c>
      <c r="M286">
        <f t="shared" si="26"/>
        <v>4.5340340488487669</v>
      </c>
      <c r="N286">
        <f t="shared" si="27"/>
        <v>4.8441899394161609</v>
      </c>
      <c r="O286">
        <f t="shared" si="28"/>
        <v>64247.573116983403</v>
      </c>
    </row>
    <row r="287" spans="7:15" x14ac:dyDescent="0.25">
      <c r="G287">
        <v>285</v>
      </c>
      <c r="H287">
        <v>0.93294556814122198</v>
      </c>
      <c r="I287">
        <v>0.94179659916674141</v>
      </c>
      <c r="J287">
        <f t="shared" si="29"/>
        <v>18.725965794683219</v>
      </c>
      <c r="K287">
        <f t="shared" si="24"/>
        <v>3.57352298380549</v>
      </c>
      <c r="L287">
        <f t="shared" si="25"/>
        <v>4.5174584439866621</v>
      </c>
      <c r="M287">
        <f t="shared" si="26"/>
        <v>4.5635021386334618</v>
      </c>
      <c r="N287">
        <f t="shared" si="27"/>
        <v>4.86491008784055</v>
      </c>
      <c r="O287">
        <f t="shared" si="28"/>
        <v>87783.294083122993</v>
      </c>
    </row>
    <row r="288" spans="7:15" x14ac:dyDescent="0.25">
      <c r="G288">
        <v>286</v>
      </c>
      <c r="H288">
        <v>0.7136527677651695</v>
      </c>
      <c r="I288">
        <v>0.64486381807013138</v>
      </c>
      <c r="J288">
        <f t="shared" si="29"/>
        <v>14.559402587538221</v>
      </c>
      <c r="K288">
        <f t="shared" si="24"/>
        <v>3.2632047131106523</v>
      </c>
      <c r="L288">
        <f t="shared" si="25"/>
        <v>4.0466761506375351</v>
      </c>
      <c r="M288">
        <f t="shared" si="26"/>
        <v>0</v>
      </c>
      <c r="N288">
        <f t="shared" si="27"/>
        <v>4.1128668921085847</v>
      </c>
      <c r="O288">
        <f t="shared" si="28"/>
        <v>13534.474810742531</v>
      </c>
    </row>
    <row r="289" spans="7:15" x14ac:dyDescent="0.25">
      <c r="G289">
        <v>287</v>
      </c>
      <c r="H289">
        <v>0.83498980300469905</v>
      </c>
      <c r="I289">
        <v>0.62592080935306704</v>
      </c>
      <c r="J289">
        <f t="shared" si="29"/>
        <v>16.864806257089281</v>
      </c>
      <c r="K289">
        <f t="shared" si="24"/>
        <v>3.4450559595118473</v>
      </c>
      <c r="L289">
        <f t="shared" si="25"/>
        <v>4.3434691241962931</v>
      </c>
      <c r="M289">
        <f t="shared" si="26"/>
        <v>4.061491544952573</v>
      </c>
      <c r="N289">
        <f t="shared" si="27"/>
        <v>4.5606309210314366</v>
      </c>
      <c r="O289">
        <f t="shared" si="28"/>
        <v>37729.78692761514</v>
      </c>
    </row>
    <row r="290" spans="7:15" x14ac:dyDescent="0.25">
      <c r="G290">
        <v>288</v>
      </c>
      <c r="H290">
        <v>0.7865374422057142</v>
      </c>
      <c r="I290">
        <v>0.15425640944248298</v>
      </c>
      <c r="J290">
        <f t="shared" si="29"/>
        <v>15.94421140190857</v>
      </c>
      <c r="K290">
        <f t="shared" si="24"/>
        <v>3.3758245719873878</v>
      </c>
      <c r="L290">
        <f t="shared" si="25"/>
        <v>4.2390372800826839</v>
      </c>
      <c r="M290">
        <f t="shared" si="26"/>
        <v>3.5678988679631041</v>
      </c>
      <c r="N290">
        <f t="shared" si="27"/>
        <v>4.369453901168888</v>
      </c>
      <c r="O290">
        <f t="shared" si="28"/>
        <v>20822.675143111839</v>
      </c>
    </row>
    <row r="291" spans="7:15" x14ac:dyDescent="0.25">
      <c r="G291">
        <v>289</v>
      </c>
      <c r="H291">
        <v>0.23125769018052178</v>
      </c>
      <c r="I291">
        <v>0.12482187563630431</v>
      </c>
      <c r="J291">
        <f t="shared" si="29"/>
        <v>5.3938961134299142</v>
      </c>
      <c r="K291">
        <f t="shared" si="24"/>
        <v>1.9581626573846109</v>
      </c>
      <c r="L291">
        <f t="shared" si="25"/>
        <v>0</v>
      </c>
      <c r="M291">
        <f t="shared" si="26"/>
        <v>0</v>
      </c>
      <c r="N291">
        <f t="shared" si="27"/>
        <v>1.9581626573846109</v>
      </c>
      <c r="O291">
        <f t="shared" si="28"/>
        <v>79.54298817040295</v>
      </c>
    </row>
    <row r="292" spans="7:15" x14ac:dyDescent="0.25">
      <c r="G292">
        <v>290</v>
      </c>
      <c r="H292">
        <v>0.54601461515991367</v>
      </c>
      <c r="I292">
        <v>0.24391813443378563</v>
      </c>
      <c r="J292">
        <f t="shared" si="29"/>
        <v>11.37427768803836</v>
      </c>
      <c r="K292">
        <f t="shared" si="24"/>
        <v>2.9531175481792991</v>
      </c>
      <c r="L292">
        <f t="shared" si="25"/>
        <v>3.1768842962193915</v>
      </c>
      <c r="M292">
        <f t="shared" si="26"/>
        <v>0</v>
      </c>
      <c r="N292">
        <f t="shared" si="27"/>
        <v>3.38028602174432</v>
      </c>
      <c r="O292">
        <f t="shared" si="28"/>
        <v>2216.1456701098946</v>
      </c>
    </row>
    <row r="293" spans="7:15" x14ac:dyDescent="0.25">
      <c r="G293">
        <v>291</v>
      </c>
      <c r="H293">
        <v>0.65851528775245149</v>
      </c>
      <c r="I293">
        <v>0.471629176823258</v>
      </c>
      <c r="J293">
        <f t="shared" si="29"/>
        <v>13.511790467296578</v>
      </c>
      <c r="K293">
        <f t="shared" si="24"/>
        <v>3.170081799278397</v>
      </c>
      <c r="L293">
        <f t="shared" si="25"/>
        <v>3.8573326432351323</v>
      </c>
      <c r="M293">
        <f t="shared" si="26"/>
        <v>0</v>
      </c>
      <c r="N293">
        <f t="shared" si="27"/>
        <v>3.9384891752867226</v>
      </c>
      <c r="O293">
        <f t="shared" si="28"/>
        <v>8608.5581507925635</v>
      </c>
    </row>
    <row r="294" spans="7:15" x14ac:dyDescent="0.25">
      <c r="G294">
        <v>292</v>
      </c>
      <c r="H294">
        <v>0.55284017761326187</v>
      </c>
      <c r="I294">
        <v>0.46166782698769471</v>
      </c>
      <c r="J294">
        <f t="shared" si="29"/>
        <v>11.503963374651976</v>
      </c>
      <c r="K294">
        <f t="shared" si="24"/>
        <v>2.9675050954266977</v>
      </c>
      <c r="L294">
        <f t="shared" si="25"/>
        <v>3.2422861131029128</v>
      </c>
      <c r="M294">
        <f t="shared" si="26"/>
        <v>0</v>
      </c>
      <c r="N294">
        <f t="shared" si="27"/>
        <v>3.4273044749999522</v>
      </c>
      <c r="O294">
        <f t="shared" si="28"/>
        <v>2645.4090399594807</v>
      </c>
    </row>
    <row r="295" spans="7:15" x14ac:dyDescent="0.25">
      <c r="G295">
        <v>293</v>
      </c>
      <c r="H295">
        <v>0.28436731004128535</v>
      </c>
      <c r="I295">
        <v>0.2547464410405279</v>
      </c>
      <c r="J295">
        <f t="shared" si="29"/>
        <v>6.4029788907844214</v>
      </c>
      <c r="K295">
        <f t="shared" si="24"/>
        <v>2.1975852874030735</v>
      </c>
      <c r="L295">
        <f t="shared" si="25"/>
        <v>0</v>
      </c>
      <c r="M295">
        <f t="shared" si="26"/>
        <v>0</v>
      </c>
      <c r="N295">
        <f t="shared" si="27"/>
        <v>2.1975852874030735</v>
      </c>
      <c r="O295">
        <f t="shared" si="28"/>
        <v>146.08442343807693</v>
      </c>
    </row>
    <row r="296" spans="7:15" x14ac:dyDescent="0.25">
      <c r="G296">
        <v>294</v>
      </c>
      <c r="H296">
        <v>0.36594521835141158</v>
      </c>
      <c r="I296">
        <v>0.24522985371941619</v>
      </c>
      <c r="J296">
        <f t="shared" si="29"/>
        <v>7.9529591486768201</v>
      </c>
      <c r="K296">
        <f t="shared" si="24"/>
        <v>2.4896823726650239</v>
      </c>
      <c r="L296">
        <f t="shared" si="25"/>
        <v>0</v>
      </c>
      <c r="M296">
        <f t="shared" si="26"/>
        <v>0</v>
      </c>
      <c r="N296">
        <f t="shared" si="27"/>
        <v>2.4896823726650239</v>
      </c>
      <c r="O296">
        <f t="shared" si="28"/>
        <v>285.23543727363398</v>
      </c>
    </row>
    <row r="297" spans="7:15" x14ac:dyDescent="0.25">
      <c r="G297">
        <v>295</v>
      </c>
      <c r="H297">
        <v>0.4135050562169571</v>
      </c>
      <c r="I297">
        <v>0.85449224415157299</v>
      </c>
      <c r="J297">
        <f t="shared" si="29"/>
        <v>8.8565960681221849</v>
      </c>
      <c r="K297">
        <f t="shared" si="24"/>
        <v>2.6311883661386695</v>
      </c>
      <c r="L297">
        <f t="shared" si="25"/>
        <v>0</v>
      </c>
      <c r="M297">
        <f t="shared" si="26"/>
        <v>0</v>
      </c>
      <c r="N297">
        <f t="shared" si="27"/>
        <v>2.6311883661386695</v>
      </c>
      <c r="O297">
        <f t="shared" si="28"/>
        <v>483.04010515841816</v>
      </c>
    </row>
    <row r="298" spans="7:15" x14ac:dyDescent="0.25">
      <c r="G298">
        <v>296</v>
      </c>
      <c r="H298">
        <v>0.56421861341869062</v>
      </c>
      <c r="I298">
        <v>0.17425533337517496</v>
      </c>
      <c r="J298">
        <f t="shared" si="29"/>
        <v>11.720153654955121</v>
      </c>
      <c r="K298">
        <f t="shared" si="24"/>
        <v>2.9910992593858081</v>
      </c>
      <c r="L298">
        <f t="shared" si="25"/>
        <v>3.3396971836323432</v>
      </c>
      <c r="M298">
        <f t="shared" si="26"/>
        <v>0</v>
      </c>
      <c r="N298">
        <f t="shared" si="27"/>
        <v>3.5005041330273019</v>
      </c>
      <c r="O298">
        <f t="shared" si="28"/>
        <v>2842.03899102174</v>
      </c>
    </row>
    <row r="299" spans="7:15" x14ac:dyDescent="0.25">
      <c r="G299">
        <v>297</v>
      </c>
      <c r="H299">
        <v>0.68354192728824814</v>
      </c>
      <c r="I299">
        <v>0.35917644942000571</v>
      </c>
      <c r="J299">
        <f t="shared" si="29"/>
        <v>13.987296618476714</v>
      </c>
      <c r="K299">
        <f t="shared" si="24"/>
        <v>3.213279924148901</v>
      </c>
      <c r="L299">
        <f t="shared" si="25"/>
        <v>3.949433057725078</v>
      </c>
      <c r="M299">
        <f t="shared" si="26"/>
        <v>0</v>
      </c>
      <c r="N299">
        <f t="shared" si="27"/>
        <v>4.0226340105992175</v>
      </c>
      <c r="O299">
        <f t="shared" si="28"/>
        <v>10106.504220283041</v>
      </c>
    </row>
    <row r="300" spans="7:15" x14ac:dyDescent="0.25">
      <c r="G300">
        <v>298</v>
      </c>
      <c r="H300">
        <v>0.85084980667222443</v>
      </c>
      <c r="I300">
        <v>1.2868687660080869E-2</v>
      </c>
      <c r="J300">
        <f t="shared" si="29"/>
        <v>17.166146326772264</v>
      </c>
      <c r="K300">
        <f t="shared" si="24"/>
        <v>3.466847246590679</v>
      </c>
      <c r="L300">
        <f t="shared" si="25"/>
        <v>4.3746269605572108</v>
      </c>
      <c r="M300">
        <f t="shared" si="26"/>
        <v>4.170131846635746</v>
      </c>
      <c r="N300">
        <f t="shared" si="27"/>
        <v>4.6171976619211206</v>
      </c>
      <c r="O300">
        <f t="shared" si="28"/>
        <v>32039.820790111404</v>
      </c>
    </row>
    <row r="301" spans="7:15" x14ac:dyDescent="0.25">
      <c r="G301">
        <v>299</v>
      </c>
      <c r="H301">
        <v>0.82328891946861749</v>
      </c>
      <c r="I301">
        <v>0.68467769381834198</v>
      </c>
      <c r="J301">
        <f t="shared" si="29"/>
        <v>16.642489469903733</v>
      </c>
      <c r="K301">
        <f t="shared" si="24"/>
        <v>3.428712222129993</v>
      </c>
      <c r="L301">
        <f t="shared" si="25"/>
        <v>4.3195924491621271</v>
      </c>
      <c r="M301">
        <f t="shared" si="26"/>
        <v>3.9694225682495019</v>
      </c>
      <c r="N301">
        <f t="shared" si="27"/>
        <v>4.5168931406287935</v>
      </c>
      <c r="O301">
        <f t="shared" si="28"/>
        <v>34748.345267848774</v>
      </c>
    </row>
    <row r="302" spans="7:15" x14ac:dyDescent="0.25">
      <c r="G302">
        <v>300</v>
      </c>
      <c r="H302">
        <v>0.18492151468813167</v>
      </c>
      <c r="I302">
        <v>0.5047055311183517</v>
      </c>
      <c r="J302">
        <f t="shared" si="29"/>
        <v>4.5135087790745017</v>
      </c>
      <c r="K302">
        <f t="shared" si="24"/>
        <v>1.6992060134251277</v>
      </c>
      <c r="L302">
        <f t="shared" si="25"/>
        <v>0</v>
      </c>
      <c r="M302">
        <f t="shared" si="26"/>
        <v>0</v>
      </c>
      <c r="N302">
        <f t="shared" si="27"/>
        <v>1.6992060134251277</v>
      </c>
      <c r="O302">
        <f t="shared" si="28"/>
        <v>50.095161144436027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Segment</vt:lpstr>
      <vt:lpstr>2 Segment</vt:lpstr>
      <vt:lpstr>3 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C Haden CIV (USA)</dc:creator>
  <cp:lastModifiedBy>Haden Smith</cp:lastModifiedBy>
  <dcterms:created xsi:type="dcterms:W3CDTF">2025-03-13T20:48:22Z</dcterms:created>
  <dcterms:modified xsi:type="dcterms:W3CDTF">2026-04-22T10:41:56Z</dcterms:modified>
</cp:coreProperties>
</file>