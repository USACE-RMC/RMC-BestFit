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RMCCHS\Documents\0_RMC_Work\RMC-BestFit\Version 2.0 Examples\5. Nonstationary FFA Examples\"/>
    </mc:Choice>
  </mc:AlternateContent>
  <xr:revisionPtr revIDLastSave="0" documentId="13_ncr:1_{65E7416A-B6F1-4814-9CD1-7F60A66AD7AB}" xr6:coauthVersionLast="47" xr6:coauthVersionMax="47" xr10:uidLastSave="{00000000-0000-0000-0000-000000000000}"/>
  <bookViews>
    <workbookView xWindow="-108" yWindow="-84" windowWidth="23256" windowHeight="13872" xr2:uid="{FFB8C130-2ACF-4430-A464-18C18A1B8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7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10" i="1"/>
  <c r="X94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0" i="1"/>
  <c r="R11" i="1"/>
  <c r="R10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0" i="1"/>
  <c r="I1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0" i="1"/>
  <c r="C6" i="1"/>
  <c r="C5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0" i="1"/>
</calcChain>
</file>

<file path=xl/sharedStrings.xml><?xml version="1.0" encoding="utf-8"?>
<sst xmlns="http://schemas.openxmlformats.org/spreadsheetml/2006/main" count="45" uniqueCount="17">
  <si>
    <t>a</t>
  </si>
  <si>
    <t>b</t>
  </si>
  <si>
    <t>c</t>
  </si>
  <si>
    <t>d</t>
  </si>
  <si>
    <t>mu</t>
  </si>
  <si>
    <t>sigma</t>
  </si>
  <si>
    <t>Constant</t>
  </si>
  <si>
    <t>Cubic</t>
  </si>
  <si>
    <t>min</t>
  </si>
  <si>
    <t>max</t>
  </si>
  <si>
    <t>Exponential</t>
  </si>
  <si>
    <t>Linear</t>
  </si>
  <si>
    <t>Logistic</t>
  </si>
  <si>
    <t>Power</t>
  </si>
  <si>
    <t>Quadratic</t>
  </si>
  <si>
    <t>Sinusoidal</t>
  </si>
  <si>
    <t>Step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</si>
</sst>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2EE8-7215-45EB-BE40-9289F0141969}">
  <dimension ref="A1:AA109"/>
  <sheetViews>
    <sheetView tabSelected="1" topLeftCell="I1" workbookViewId="0">
      <selection activeCell="L5" sqref="L5"/>
    </sheetView>
  </sheetViews>
  <sheetFormatPr defaultRowHeight="15" x14ac:dyDescent="0.25"/>
  <sheetData>
    <row r="1" spans="1:27" x14ac:dyDescent="0.25">
      <c r="B1" t="s">
        <v>6</v>
      </c>
      <c r="F1" t="s">
        <v>7</v>
      </c>
      <c r="I1" t="s">
        <v>10</v>
      </c>
      <c r="L1" t="s">
        <v>11</v>
      </c>
      <c r="O1" t="s">
        <v>12</v>
      </c>
      <c r="R1" t="s">
        <v>13</v>
      </c>
      <c r="U1" t="s">
        <v>14</v>
      </c>
      <c r="X1" t="s">
        <v>15</v>
      </c>
      <c r="AA1" t="s">
        <v>16</v>
      </c>
    </row>
    <row r="2" spans="1:27" x14ac:dyDescent="0.25">
      <c r="B2" t="s">
        <v>4</v>
      </c>
      <c r="C2">
        <v>100</v>
      </c>
    </row>
    <row r="3" spans="1:27" x14ac:dyDescent="0.25">
      <c r="B3" t="s">
        <v>5</v>
      </c>
      <c r="C3">
        <v>15</v>
      </c>
    </row>
    <row r="5" spans="1:27" x14ac:dyDescent="0.25">
      <c r="B5" t="s">
        <v>8</v>
      </c>
      <c r="C5">
        <f>MIN(C10:C109)</f>
        <v>58.926169989464981</v>
      </c>
      <c r="E5" t="s">
        <v>0</v>
      </c>
      <c r="F5">
        <v>100</v>
      </c>
      <c r="H5" t="s">
        <v>0</v>
      </c>
      <c r="I5">
        <v>50</v>
      </c>
      <c r="K5" t="s">
        <v>0</v>
      </c>
      <c r="L5">
        <v>80</v>
      </c>
      <c r="N5" t="s">
        <v>0</v>
      </c>
      <c r="O5">
        <v>100</v>
      </c>
      <c r="Q5" t="s">
        <v>0</v>
      </c>
      <c r="R5">
        <v>100</v>
      </c>
      <c r="T5" t="s">
        <v>0</v>
      </c>
      <c r="U5">
        <v>100</v>
      </c>
      <c r="W5" t="s">
        <v>0</v>
      </c>
      <c r="X5">
        <v>100</v>
      </c>
      <c r="Z5" t="s">
        <v>0</v>
      </c>
      <c r="AA5">
        <v>100</v>
      </c>
    </row>
    <row r="6" spans="1:27" x14ac:dyDescent="0.25">
      <c r="B6" t="s">
        <v>9</v>
      </c>
      <c r="C6">
        <f>MAX(C10:C109)</f>
        <v>137.61023032769796</v>
      </c>
      <c r="E6" t="s">
        <v>1</v>
      </c>
      <c r="F6">
        <v>0.2</v>
      </c>
      <c r="H6" t="s">
        <v>1</v>
      </c>
      <c r="I6">
        <v>0.02</v>
      </c>
      <c r="K6" t="s">
        <v>1</v>
      </c>
      <c r="L6">
        <v>0.5</v>
      </c>
      <c r="N6" t="s">
        <v>1</v>
      </c>
      <c r="O6">
        <v>0.05</v>
      </c>
      <c r="Q6" t="s">
        <v>1</v>
      </c>
      <c r="R6">
        <v>0.2</v>
      </c>
      <c r="T6" t="s">
        <v>1</v>
      </c>
      <c r="U6">
        <v>-0.2</v>
      </c>
      <c r="W6" t="s">
        <v>1</v>
      </c>
      <c r="X6">
        <v>25</v>
      </c>
      <c r="Z6" t="s">
        <v>1</v>
      </c>
      <c r="AA6">
        <v>150</v>
      </c>
    </row>
    <row r="7" spans="1:27" x14ac:dyDescent="0.25">
      <c r="E7" t="s">
        <v>2</v>
      </c>
      <c r="F7">
        <v>-8.0000000000000002E-3</v>
      </c>
      <c r="H7" t="s">
        <v>2</v>
      </c>
      <c r="K7" t="s">
        <v>2</v>
      </c>
      <c r="N7" t="s">
        <v>2</v>
      </c>
      <c r="Q7" t="s">
        <v>2</v>
      </c>
      <c r="T7" t="s">
        <v>2</v>
      </c>
      <c r="U7">
        <v>8.0000000000000002E-3</v>
      </c>
      <c r="W7" t="s">
        <v>2</v>
      </c>
      <c r="X7">
        <v>1.4999999999999999E-2</v>
      </c>
      <c r="Z7" t="s">
        <v>2</v>
      </c>
      <c r="AA7">
        <v>60</v>
      </c>
    </row>
    <row r="8" spans="1:27" x14ac:dyDescent="0.25">
      <c r="E8" t="s">
        <v>3</v>
      </c>
      <c r="F8">
        <v>1.4999999999999999E-4</v>
      </c>
      <c r="H8" t="s">
        <v>3</v>
      </c>
      <c r="K8" t="s">
        <v>3</v>
      </c>
      <c r="N8" t="s">
        <v>3</v>
      </c>
      <c r="Q8" t="s">
        <v>3</v>
      </c>
      <c r="T8" t="s">
        <v>3</v>
      </c>
      <c r="W8" t="s">
        <v>3</v>
      </c>
      <c r="X8">
        <v>3</v>
      </c>
      <c r="Z8" t="s">
        <v>3</v>
      </c>
    </row>
    <row r="10" spans="1:27" x14ac:dyDescent="0.25">
      <c r="A10">
        <v>0.86731916534137965</v>
      </c>
      <c r="B10">
        <v>1</v>
      </c>
      <c r="C10">
        <f>_xlfn.NORM.INV(A10,$C$2,$C$3)</f>
        <v>116.70711632550808</v>
      </c>
      <c r="E10">
        <v>1</v>
      </c>
      <c r="F10">
        <f>_xlfn.NORM.INV($A10,$F$5+$F$6*E10+$F$7*E10*E10+$F$8*E10*E10*E10,$C$3)</f>
        <v>116.89926632550811</v>
      </c>
      <c r="H10">
        <v>1</v>
      </c>
      <c r="I10">
        <f>_xlfn.NORM.INV($A10,$I$5*EXP($I$6*H10),$C$3)</f>
        <v>67.717183326845884</v>
      </c>
      <c r="K10">
        <v>1</v>
      </c>
      <c r="L10">
        <f>_xlfn.NORM.INV($A10,$L$5+$L$6*K10,$C$3)</f>
        <v>97.207116325508082</v>
      </c>
      <c r="N10">
        <v>1</v>
      </c>
      <c r="O10">
        <f>_xlfn.NORM.INV($A10,$O$5/(1+EXP(-$O$6*N10)),$C$3)</f>
        <v>67.956855973929123</v>
      </c>
      <c r="Q10">
        <v>1</v>
      </c>
      <c r="R10">
        <f>_xlfn.NORM.INV($A10,$R$5*Q10^$R$6,$C$3)</f>
        <v>116.70711632550808</v>
      </c>
      <c r="T10">
        <v>1</v>
      </c>
      <c r="U10">
        <f>_xlfn.NORM.INV($A10,$U$5+$U$6*T10+$U$7*T10*T10,$C$3)</f>
        <v>116.51511632550807</v>
      </c>
      <c r="W10">
        <v>1</v>
      </c>
      <c r="X10">
        <f>_xlfn.NORM.INV($A10,$X$5+$X$6*SIN(2*PI()*$X$7*W10+$X$8),$C$3)</f>
        <v>117.89029603590387</v>
      </c>
      <c r="Z10">
        <v>1</v>
      </c>
      <c r="AA10">
        <f>_xlfn.NORM.INV($A10,$AA$5,$C$3)</f>
        <v>116.70711632550808</v>
      </c>
    </row>
    <row r="11" spans="1:27" x14ac:dyDescent="0.25">
      <c r="A11">
        <v>0.6721943431815679</v>
      </c>
      <c r="B11">
        <v>2</v>
      </c>
      <c r="C11">
        <f t="shared" ref="C11:C74" si="0">_xlfn.NORM.INV(A11,$C$2,$C$3)</f>
        <v>106.68970787629598</v>
      </c>
      <c r="E11">
        <v>2</v>
      </c>
      <c r="F11">
        <f t="shared" ref="F11:F74" si="1">_xlfn.NORM.INV($A11,$F$5+$F$6*E11+$F$7*E11*E11+$F$8*E11*E11*E11,$C$3)</f>
        <v>107.05890787629599</v>
      </c>
      <c r="H11">
        <v>2</v>
      </c>
      <c r="I11">
        <f>_xlfn.NORM.INV($A11,$I$5*EXP($I$6*H11),$C$3)</f>
        <v>58.730246585915388</v>
      </c>
      <c r="K11">
        <v>2</v>
      </c>
      <c r="L11">
        <f t="shared" ref="L11:L74" si="2">_xlfn.NORM.INV($A11,$L$5+$L$6*K11,$C$3)</f>
        <v>87.689707876295984</v>
      </c>
      <c r="N11">
        <v>2</v>
      </c>
      <c r="O11">
        <f t="shared" ref="O11:O74" si="3">_xlfn.NORM.INV($A11,$O$5/(1+EXP(-$O$6*N11)),$C$3)</f>
        <v>59.187626624189974</v>
      </c>
      <c r="Q11">
        <v>2</v>
      </c>
      <c r="R11">
        <f>_xlfn.NORM.INV($A11,$R$5*Q11^$R$6,$C$3)</f>
        <v>121.5595433759995</v>
      </c>
      <c r="T11">
        <v>2</v>
      </c>
      <c r="U11">
        <f t="shared" ref="U11:U74" si="4">_xlfn.NORM.INV($A11,$U$5+$U$6*T11+$U$7*T11*T11,$C$3)</f>
        <v>106.32170787629597</v>
      </c>
      <c r="W11">
        <v>2</v>
      </c>
      <c r="X11">
        <f t="shared" ref="X11:X74" si="5">_xlfn.NORM.INV($A11,$X$5+$X$6*SIN(2*PI()*$X$7*W11+$X$8),$C$3)</f>
        <v>105.51756510871955</v>
      </c>
      <c r="Z11">
        <v>2</v>
      </c>
      <c r="AA11">
        <f t="shared" ref="AA11:AA69" si="6">_xlfn.NORM.INV($A11,$AA$5,$C$3)</f>
        <v>106.68970787629598</v>
      </c>
    </row>
    <row r="12" spans="1:27" x14ac:dyDescent="0.25">
      <c r="A12">
        <v>0.60727734200752892</v>
      </c>
      <c r="B12">
        <v>3</v>
      </c>
      <c r="C12">
        <f t="shared" si="0"/>
        <v>104.0834472676553</v>
      </c>
      <c r="E12">
        <v>3</v>
      </c>
      <c r="F12">
        <f t="shared" si="1"/>
        <v>104.6154972676553</v>
      </c>
      <c r="H12">
        <v>3</v>
      </c>
      <c r="I12">
        <f t="shared" ref="I11:I74" si="7">_xlfn.NORM.INV($A12,$I$5*EXP($I$6*H12),$C$3)</f>
        <v>57.17527459492328</v>
      </c>
      <c r="K12">
        <v>3</v>
      </c>
      <c r="L12">
        <f t="shared" si="2"/>
        <v>85.583447267655302</v>
      </c>
      <c r="N12">
        <v>3</v>
      </c>
      <c r="O12">
        <f t="shared" si="3"/>
        <v>57.826431802030257</v>
      </c>
      <c r="Q12">
        <v>3</v>
      </c>
      <c r="R12">
        <f t="shared" ref="R12:R74" si="8">_xlfn.NORM.INV($A12,$R$5*Q12^$R$6,$C$3)</f>
        <v>128.65654122920702</v>
      </c>
      <c r="T12">
        <v>3</v>
      </c>
      <c r="U12">
        <f t="shared" si="4"/>
        <v>103.55544726765531</v>
      </c>
      <c r="W12">
        <v>3</v>
      </c>
      <c r="X12">
        <f t="shared" si="5"/>
        <v>100.56638604429214</v>
      </c>
      <c r="Z12">
        <v>3</v>
      </c>
      <c r="AA12">
        <f t="shared" si="6"/>
        <v>104.0834472676553</v>
      </c>
    </row>
    <row r="13" spans="1:27" x14ac:dyDescent="0.25">
      <c r="A13">
        <v>0.37446410185191048</v>
      </c>
      <c r="B13">
        <v>4</v>
      </c>
      <c r="C13">
        <f t="shared" si="0"/>
        <v>95.199205990283602</v>
      </c>
      <c r="E13">
        <v>4</v>
      </c>
      <c r="F13">
        <f t="shared" si="1"/>
        <v>95.880805990283605</v>
      </c>
      <c r="H13">
        <v>4</v>
      </c>
      <c r="I13">
        <f t="shared" si="7"/>
        <v>49.363559374031524</v>
      </c>
      <c r="K13">
        <v>4</v>
      </c>
      <c r="L13">
        <f t="shared" si="2"/>
        <v>77.199205990283602</v>
      </c>
      <c r="N13">
        <v>4</v>
      </c>
      <c r="O13">
        <f t="shared" si="3"/>
        <v>50.182605721531388</v>
      </c>
      <c r="Q13">
        <v>4</v>
      </c>
      <c r="R13">
        <f t="shared" si="8"/>
        <v>127.14999706757301</v>
      </c>
      <c r="T13">
        <v>4</v>
      </c>
      <c r="U13">
        <f t="shared" si="4"/>
        <v>94.527205990283605</v>
      </c>
      <c r="W13">
        <v>4</v>
      </c>
      <c r="X13">
        <f t="shared" si="5"/>
        <v>89.368443995538556</v>
      </c>
      <c r="Z13">
        <v>4</v>
      </c>
      <c r="AA13">
        <f t="shared" si="6"/>
        <v>95.199205990283602</v>
      </c>
    </row>
    <row r="14" spans="1:27" x14ac:dyDescent="0.25">
      <c r="A14">
        <v>0.78006483972327967</v>
      </c>
      <c r="B14">
        <v>5</v>
      </c>
      <c r="C14">
        <f t="shared" si="0"/>
        <v>111.58618324888469</v>
      </c>
      <c r="E14">
        <v>5</v>
      </c>
      <c r="F14">
        <f t="shared" si="1"/>
        <v>112.40493324888469</v>
      </c>
      <c r="H14">
        <v>5</v>
      </c>
      <c r="I14">
        <f t="shared" si="7"/>
        <v>66.844729152667085</v>
      </c>
      <c r="K14">
        <v>5</v>
      </c>
      <c r="L14">
        <f t="shared" si="2"/>
        <v>94.086183248884694</v>
      </c>
      <c r="N14">
        <v>5</v>
      </c>
      <c r="O14">
        <f t="shared" si="3"/>
        <v>67.803833337464511</v>
      </c>
      <c r="Q14">
        <v>5</v>
      </c>
      <c r="R14">
        <f t="shared" si="8"/>
        <v>149.55914939500619</v>
      </c>
      <c r="T14">
        <v>5</v>
      </c>
      <c r="U14">
        <f t="shared" si="4"/>
        <v>110.7861832488847</v>
      </c>
      <c r="W14">
        <v>5</v>
      </c>
      <c r="X14">
        <f t="shared" si="5"/>
        <v>103.49347473900517</v>
      </c>
      <c r="Z14">
        <v>5</v>
      </c>
      <c r="AA14">
        <f t="shared" si="6"/>
        <v>111.58618324888469</v>
      </c>
    </row>
    <row r="15" spans="1:27" x14ac:dyDescent="0.25">
      <c r="A15">
        <v>0.47166442042514534</v>
      </c>
      <c r="B15">
        <v>6</v>
      </c>
      <c r="C15">
        <f t="shared" si="0"/>
        <v>98.9337011509635</v>
      </c>
      <c r="E15">
        <v>6</v>
      </c>
      <c r="F15">
        <f t="shared" si="1"/>
        <v>99.878101150963502</v>
      </c>
      <c r="H15">
        <v>6</v>
      </c>
      <c r="I15">
        <f t="shared" si="7"/>
        <v>55.308543729932282</v>
      </c>
      <c r="K15">
        <v>6</v>
      </c>
      <c r="L15">
        <f t="shared" si="2"/>
        <v>81.9337011509635</v>
      </c>
      <c r="N15">
        <v>6</v>
      </c>
      <c r="O15">
        <f t="shared" si="3"/>
        <v>56.377952832129395</v>
      </c>
      <c r="Q15">
        <v>6</v>
      </c>
      <c r="R15">
        <f t="shared" si="8"/>
        <v>142.03060926148905</v>
      </c>
      <c r="T15">
        <v>6</v>
      </c>
      <c r="U15">
        <f t="shared" si="4"/>
        <v>98.021701150963494</v>
      </c>
      <c r="W15">
        <v>6</v>
      </c>
      <c r="X15">
        <f t="shared" si="5"/>
        <v>88.650877579597093</v>
      </c>
      <c r="Z15">
        <v>6</v>
      </c>
      <c r="AA15">
        <f t="shared" si="6"/>
        <v>98.9337011509635</v>
      </c>
    </row>
    <row r="16" spans="1:27" x14ac:dyDescent="0.25">
      <c r="A16">
        <v>0.94068701051180714</v>
      </c>
      <c r="B16">
        <v>7</v>
      </c>
      <c r="C16">
        <f t="shared" si="0"/>
        <v>123.40850316325175</v>
      </c>
      <c r="E16">
        <v>7</v>
      </c>
      <c r="F16">
        <f t="shared" si="1"/>
        <v>124.46795316325176</v>
      </c>
      <c r="H16">
        <v>7</v>
      </c>
      <c r="I16">
        <f t="shared" si="7"/>
        <v>80.922193106113127</v>
      </c>
      <c r="K16">
        <v>7</v>
      </c>
      <c r="L16">
        <f t="shared" si="2"/>
        <v>106.90850316325175</v>
      </c>
      <c r="N16">
        <v>7</v>
      </c>
      <c r="O16">
        <f t="shared" si="3"/>
        <v>82.070261054984769</v>
      </c>
      <c r="Q16">
        <v>7</v>
      </c>
      <c r="R16">
        <f t="shared" si="8"/>
        <v>170.98581932270696</v>
      </c>
      <c r="T16">
        <v>7</v>
      </c>
      <c r="U16">
        <f t="shared" si="4"/>
        <v>122.40050316325174</v>
      </c>
      <c r="W16">
        <v>7</v>
      </c>
      <c r="X16">
        <f t="shared" si="5"/>
        <v>111.02683560037848</v>
      </c>
      <c r="Z16">
        <v>7</v>
      </c>
      <c r="AA16">
        <f t="shared" si="6"/>
        <v>123.40850316325175</v>
      </c>
    </row>
    <row r="17" spans="1:27" x14ac:dyDescent="0.25">
      <c r="A17">
        <v>1.6149149391406104E-2</v>
      </c>
      <c r="B17">
        <v>8</v>
      </c>
      <c r="C17">
        <f t="shared" si="0"/>
        <v>67.889511201392253</v>
      </c>
      <c r="E17">
        <v>8</v>
      </c>
      <c r="F17">
        <f t="shared" si="1"/>
        <v>69.054311201392252</v>
      </c>
      <c r="H17">
        <v>8</v>
      </c>
      <c r="I17">
        <f t="shared" si="7"/>
        <v>26.565054750982767</v>
      </c>
      <c r="K17">
        <v>8</v>
      </c>
      <c r="L17">
        <f t="shared" si="2"/>
        <v>51.889511201392253</v>
      </c>
      <c r="N17">
        <v>8</v>
      </c>
      <c r="O17">
        <f t="shared" si="3"/>
        <v>27.758277212637452</v>
      </c>
      <c r="Q17">
        <v>8</v>
      </c>
      <c r="R17">
        <f t="shared" si="8"/>
        <v>119.46116785243206</v>
      </c>
      <c r="T17">
        <v>8</v>
      </c>
      <c r="U17">
        <f t="shared" si="4"/>
        <v>66.801511201392259</v>
      </c>
      <c r="W17">
        <v>8</v>
      </c>
      <c r="X17">
        <f t="shared" si="5"/>
        <v>53.518900204845949</v>
      </c>
      <c r="Z17">
        <v>8</v>
      </c>
      <c r="AA17">
        <f t="shared" si="6"/>
        <v>67.889511201392253</v>
      </c>
    </row>
    <row r="18" spans="1:27" x14ac:dyDescent="0.25">
      <c r="A18">
        <v>0.29952094740141022</v>
      </c>
      <c r="B18">
        <v>9</v>
      </c>
      <c r="C18">
        <f t="shared" si="0"/>
        <v>92.113317759053373</v>
      </c>
      <c r="E18">
        <v>9</v>
      </c>
      <c r="F18">
        <f t="shared" si="1"/>
        <v>93.374667759053381</v>
      </c>
      <c r="H18">
        <v>9</v>
      </c>
      <c r="I18">
        <f t="shared" si="7"/>
        <v>51.974185915143885</v>
      </c>
      <c r="K18">
        <v>9</v>
      </c>
      <c r="L18">
        <f t="shared" si="2"/>
        <v>76.613317759053373</v>
      </c>
      <c r="N18">
        <v>9</v>
      </c>
      <c r="O18">
        <f t="shared" si="3"/>
        <v>53.177241153975579</v>
      </c>
      <c r="Q18">
        <v>9</v>
      </c>
      <c r="R18">
        <f t="shared" si="8"/>
        <v>147.29787515058936</v>
      </c>
      <c r="T18">
        <v>9</v>
      </c>
      <c r="U18">
        <f t="shared" si="4"/>
        <v>90.961317759053372</v>
      </c>
      <c r="W18">
        <v>9</v>
      </c>
      <c r="X18">
        <f t="shared" si="5"/>
        <v>75.881317889390132</v>
      </c>
      <c r="Z18">
        <v>9</v>
      </c>
      <c r="AA18">
        <f t="shared" si="6"/>
        <v>92.113317759053373</v>
      </c>
    </row>
    <row r="19" spans="1:27" x14ac:dyDescent="0.25">
      <c r="A19">
        <v>0.41128593393287383</v>
      </c>
      <c r="B19">
        <v>10</v>
      </c>
      <c r="C19">
        <f t="shared" si="0"/>
        <v>96.6364252066234</v>
      </c>
      <c r="E19">
        <v>10</v>
      </c>
      <c r="F19">
        <f t="shared" si="1"/>
        <v>97.986425206623409</v>
      </c>
      <c r="H19">
        <v>10</v>
      </c>
      <c r="I19">
        <f t="shared" si="7"/>
        <v>57.706563114631891</v>
      </c>
      <c r="K19">
        <v>10</v>
      </c>
      <c r="L19">
        <f t="shared" si="2"/>
        <v>81.6364252066234</v>
      </c>
      <c r="N19">
        <v>10</v>
      </c>
      <c r="O19">
        <f t="shared" si="3"/>
        <v>58.882358326808856</v>
      </c>
      <c r="Q19">
        <v>10</v>
      </c>
      <c r="R19">
        <f t="shared" si="8"/>
        <v>155.12574445273478</v>
      </c>
      <c r="T19">
        <v>10</v>
      </c>
      <c r="U19">
        <f t="shared" si="4"/>
        <v>95.436425206623397</v>
      </c>
      <c r="W19">
        <v>10</v>
      </c>
      <c r="X19">
        <f t="shared" si="5"/>
        <v>78.68711284381196</v>
      </c>
      <c r="Z19">
        <v>10</v>
      </c>
      <c r="AA19">
        <f t="shared" si="6"/>
        <v>96.6364252066234</v>
      </c>
    </row>
    <row r="20" spans="1:27" x14ac:dyDescent="0.25">
      <c r="A20">
        <v>0.1095969385627843</v>
      </c>
      <c r="B20">
        <v>11</v>
      </c>
      <c r="C20">
        <f t="shared" si="0"/>
        <v>81.569882759194698</v>
      </c>
      <c r="E20">
        <v>11</v>
      </c>
      <c r="F20">
        <f t="shared" si="1"/>
        <v>83.001532759194703</v>
      </c>
      <c r="H20">
        <v>11</v>
      </c>
      <c r="I20">
        <f t="shared" si="7"/>
        <v>43.873719288563734</v>
      </c>
      <c r="K20">
        <v>11</v>
      </c>
      <c r="L20">
        <f t="shared" si="2"/>
        <v>67.069882759194698</v>
      </c>
      <c r="N20">
        <v>11</v>
      </c>
      <c r="O20">
        <f t="shared" si="3"/>
        <v>44.983441860274766</v>
      </c>
      <c r="Q20">
        <v>11</v>
      </c>
      <c r="R20">
        <f t="shared" si="8"/>
        <v>143.10930937941248</v>
      </c>
      <c r="T20">
        <v>11</v>
      </c>
      <c r="U20">
        <f t="shared" si="4"/>
        <v>80.337882759194699</v>
      </c>
      <c r="W20">
        <v>11</v>
      </c>
      <c r="X20">
        <f t="shared" si="5"/>
        <v>62.062577270468111</v>
      </c>
      <c r="Z20">
        <v>11</v>
      </c>
      <c r="AA20">
        <f t="shared" si="6"/>
        <v>81.569882759194698</v>
      </c>
    </row>
    <row r="21" spans="1:27" x14ac:dyDescent="0.25">
      <c r="A21">
        <v>0.40690821562465795</v>
      </c>
      <c r="B21">
        <v>12</v>
      </c>
      <c r="C21">
        <f t="shared" si="0"/>
        <v>96.467417900893068</v>
      </c>
      <c r="E21">
        <v>12</v>
      </c>
      <c r="F21">
        <f t="shared" si="1"/>
        <v>97.97461790089308</v>
      </c>
      <c r="H21">
        <v>12</v>
      </c>
      <c r="I21">
        <f t="shared" si="7"/>
        <v>60.0298754169633</v>
      </c>
      <c r="K21">
        <v>12</v>
      </c>
      <c r="L21">
        <f t="shared" si="2"/>
        <v>82.467417900893068</v>
      </c>
      <c r="N21">
        <v>12</v>
      </c>
      <c r="O21">
        <f t="shared" si="3"/>
        <v>61.033048523472608</v>
      </c>
      <c r="Q21">
        <v>12</v>
      </c>
      <c r="R21">
        <f t="shared" si="8"/>
        <v>160.84260085261562</v>
      </c>
      <c r="T21">
        <v>12</v>
      </c>
      <c r="U21">
        <f t="shared" si="4"/>
        <v>95.219417900893063</v>
      </c>
      <c r="W21">
        <v>12</v>
      </c>
      <c r="X21">
        <f t="shared" si="5"/>
        <v>75.575267510766338</v>
      </c>
      <c r="Z21">
        <v>12</v>
      </c>
      <c r="AA21">
        <f t="shared" si="6"/>
        <v>96.467417900893068</v>
      </c>
    </row>
    <row r="22" spans="1:27" x14ac:dyDescent="0.25">
      <c r="A22">
        <v>0.16050368679290117</v>
      </c>
      <c r="B22">
        <v>13</v>
      </c>
      <c r="C22">
        <f t="shared" si="0"/>
        <v>85.114151796415285</v>
      </c>
      <c r="E22">
        <v>13</v>
      </c>
      <c r="F22">
        <f t="shared" si="1"/>
        <v>86.691701796415273</v>
      </c>
      <c r="H22">
        <v>13</v>
      </c>
      <c r="I22">
        <f t="shared" si="7"/>
        <v>49.960656129703878</v>
      </c>
      <c r="K22">
        <v>13</v>
      </c>
      <c r="L22">
        <f t="shared" si="2"/>
        <v>71.614151796415285</v>
      </c>
      <c r="N22">
        <v>13</v>
      </c>
      <c r="O22">
        <f t="shared" si="3"/>
        <v>50.815198063765166</v>
      </c>
      <c r="Q22">
        <v>13</v>
      </c>
      <c r="R22">
        <f t="shared" si="8"/>
        <v>152.14191702989632</v>
      </c>
      <c r="T22">
        <v>13</v>
      </c>
      <c r="U22">
        <f t="shared" si="4"/>
        <v>83.866151796415295</v>
      </c>
      <c r="W22">
        <v>13</v>
      </c>
      <c r="X22">
        <f t="shared" si="5"/>
        <v>63.022596710786729</v>
      </c>
      <c r="Z22">
        <v>13</v>
      </c>
      <c r="AA22">
        <f t="shared" si="6"/>
        <v>85.114151796415285</v>
      </c>
    </row>
    <row r="23" spans="1:27" x14ac:dyDescent="0.25">
      <c r="A23">
        <v>0.56323619571312467</v>
      </c>
      <c r="B23">
        <v>14</v>
      </c>
      <c r="C23">
        <f t="shared" si="0"/>
        <v>102.38768956754511</v>
      </c>
      <c r="E23">
        <v>14</v>
      </c>
      <c r="F23">
        <f t="shared" si="1"/>
        <v>104.0312895675451</v>
      </c>
      <c r="H23">
        <v>14</v>
      </c>
      <c r="I23">
        <f t="shared" si="7"/>
        <v>68.544180184416959</v>
      </c>
      <c r="K23">
        <v>14</v>
      </c>
      <c r="L23">
        <f t="shared" si="2"/>
        <v>89.38768956754511</v>
      </c>
      <c r="N23">
        <v>14</v>
      </c>
      <c r="O23">
        <f t="shared" si="3"/>
        <v>69.206466784361723</v>
      </c>
      <c r="Q23">
        <v>14</v>
      </c>
      <c r="R23">
        <f t="shared" si="8"/>
        <v>171.90950987478865</v>
      </c>
      <c r="T23">
        <v>14</v>
      </c>
      <c r="U23">
        <f t="shared" si="4"/>
        <v>101.15568956754511</v>
      </c>
      <c r="W23">
        <v>14</v>
      </c>
      <c r="X23">
        <f t="shared" si="5"/>
        <v>79.292815993300778</v>
      </c>
      <c r="Z23">
        <v>14</v>
      </c>
      <c r="AA23">
        <f t="shared" si="6"/>
        <v>102.38768956754511</v>
      </c>
    </row>
    <row r="24" spans="1:27" x14ac:dyDescent="0.25">
      <c r="A24">
        <v>0.95338129536975447</v>
      </c>
      <c r="B24">
        <v>15</v>
      </c>
      <c r="C24">
        <f t="shared" si="0"/>
        <v>125.17843218466389</v>
      </c>
      <c r="E24">
        <v>15</v>
      </c>
      <c r="F24">
        <f t="shared" si="1"/>
        <v>126.88468218466389</v>
      </c>
      <c r="H24">
        <v>15</v>
      </c>
      <c r="I24">
        <f t="shared" si="7"/>
        <v>92.671372563464047</v>
      </c>
      <c r="K24">
        <v>15</v>
      </c>
      <c r="L24">
        <f t="shared" si="2"/>
        <v>112.67843218466389</v>
      </c>
      <c r="N24">
        <v>15</v>
      </c>
      <c r="O24">
        <f t="shared" si="3"/>
        <v>93.096302102203182</v>
      </c>
      <c r="Q24">
        <v>15</v>
      </c>
      <c r="R24">
        <f t="shared" si="8"/>
        <v>197.0556249434118</v>
      </c>
      <c r="T24">
        <v>15</v>
      </c>
      <c r="U24">
        <f t="shared" si="4"/>
        <v>123.97843218466389</v>
      </c>
      <c r="W24">
        <v>15</v>
      </c>
      <c r="X24">
        <f t="shared" si="5"/>
        <v>101.28523185462356</v>
      </c>
      <c r="Z24">
        <v>15</v>
      </c>
      <c r="AA24">
        <f t="shared" si="6"/>
        <v>125.17843218466389</v>
      </c>
    </row>
    <row r="25" spans="1:27" x14ac:dyDescent="0.25">
      <c r="A25">
        <v>9.5490345368924867E-2</v>
      </c>
      <c r="B25">
        <v>16</v>
      </c>
      <c r="C25">
        <f t="shared" si="0"/>
        <v>80.384747882573635</v>
      </c>
      <c r="E25">
        <v>16</v>
      </c>
      <c r="F25">
        <f t="shared" si="1"/>
        <v>82.151147882573639</v>
      </c>
      <c r="H25">
        <v>16</v>
      </c>
      <c r="I25">
        <f t="shared" si="7"/>
        <v>49.241136099371488</v>
      </c>
      <c r="K25">
        <v>16</v>
      </c>
      <c r="L25">
        <f t="shared" si="2"/>
        <v>68.384747882573635</v>
      </c>
      <c r="N25">
        <v>16</v>
      </c>
      <c r="O25">
        <f t="shared" si="3"/>
        <v>49.382195995334882</v>
      </c>
      <c r="Q25">
        <v>16</v>
      </c>
      <c r="R25">
        <f t="shared" si="8"/>
        <v>154.49486054179846</v>
      </c>
      <c r="T25">
        <v>16</v>
      </c>
      <c r="U25">
        <f t="shared" si="4"/>
        <v>79.232747882573634</v>
      </c>
      <c r="W25">
        <v>16</v>
      </c>
      <c r="X25">
        <f t="shared" si="5"/>
        <v>55.905298534358138</v>
      </c>
      <c r="Z25">
        <v>16</v>
      </c>
      <c r="AA25">
        <f t="shared" si="6"/>
        <v>80.384747882573635</v>
      </c>
    </row>
    <row r="26" spans="1:27" x14ac:dyDescent="0.25">
      <c r="A26">
        <v>0.83440693556606305</v>
      </c>
      <c r="B26">
        <v>17</v>
      </c>
      <c r="C26">
        <f t="shared" si="0"/>
        <v>114.57591259619397</v>
      </c>
      <c r="E26">
        <v>17</v>
      </c>
      <c r="F26">
        <f t="shared" si="1"/>
        <v>116.40086259619397</v>
      </c>
      <c r="H26">
        <v>17</v>
      </c>
      <c r="I26">
        <f t="shared" si="7"/>
        <v>84.823292124373666</v>
      </c>
      <c r="K26">
        <v>17</v>
      </c>
      <c r="L26">
        <f t="shared" si="2"/>
        <v>103.07591259619397</v>
      </c>
      <c r="N26">
        <v>17</v>
      </c>
      <c r="O26">
        <f t="shared" si="3"/>
        <v>84.632626843591268</v>
      </c>
      <c r="Q26">
        <v>17</v>
      </c>
      <c r="R26">
        <f t="shared" si="8"/>
        <v>190.80994737942569</v>
      </c>
      <c r="T26">
        <v>17</v>
      </c>
      <c r="U26">
        <f t="shared" si="4"/>
        <v>113.48791259619396</v>
      </c>
      <c r="W26">
        <v>17</v>
      </c>
      <c r="X26">
        <f t="shared" si="5"/>
        <v>89.727495555212315</v>
      </c>
      <c r="Z26">
        <v>17</v>
      </c>
      <c r="AA26">
        <f t="shared" si="6"/>
        <v>114.57591259619397</v>
      </c>
    </row>
    <row r="27" spans="1:27" x14ac:dyDescent="0.25">
      <c r="A27">
        <v>5.0863876510715111E-2</v>
      </c>
      <c r="B27">
        <v>18</v>
      </c>
      <c r="C27">
        <f t="shared" si="0"/>
        <v>75.451981185745709</v>
      </c>
      <c r="E27">
        <v>18</v>
      </c>
      <c r="F27">
        <f t="shared" si="1"/>
        <v>77.334781185745697</v>
      </c>
      <c r="H27">
        <v>18</v>
      </c>
      <c r="I27">
        <f t="shared" si="7"/>
        <v>47.118451913762712</v>
      </c>
      <c r="K27">
        <v>18</v>
      </c>
      <c r="L27">
        <f t="shared" si="2"/>
        <v>64.451981185745709</v>
      </c>
      <c r="N27">
        <v>18</v>
      </c>
      <c r="O27">
        <f t="shared" si="3"/>
        <v>46.546931448246099</v>
      </c>
      <c r="Q27">
        <v>18</v>
      </c>
      <c r="R27">
        <f t="shared" si="8"/>
        <v>153.71222698234607</v>
      </c>
      <c r="T27">
        <v>18</v>
      </c>
      <c r="U27">
        <f t="shared" si="4"/>
        <v>74.443981185745713</v>
      </c>
      <c r="W27">
        <v>18</v>
      </c>
      <c r="X27">
        <f t="shared" si="5"/>
        <v>50.455152760768485</v>
      </c>
      <c r="Z27">
        <v>18</v>
      </c>
      <c r="AA27">
        <f t="shared" si="6"/>
        <v>75.451981185745709</v>
      </c>
    </row>
    <row r="28" spans="1:27" x14ac:dyDescent="0.25">
      <c r="A28">
        <v>3.0883050106683685E-3</v>
      </c>
      <c r="B28">
        <v>19</v>
      </c>
      <c r="C28">
        <f t="shared" si="0"/>
        <v>58.926169989464981</v>
      </c>
      <c r="E28">
        <v>19</v>
      </c>
      <c r="F28">
        <f t="shared" si="1"/>
        <v>60.867019989464978</v>
      </c>
      <c r="H28">
        <v>19</v>
      </c>
      <c r="I28">
        <f t="shared" si="7"/>
        <v>32.040399461176207</v>
      </c>
      <c r="K28">
        <v>19</v>
      </c>
      <c r="L28">
        <f t="shared" si="2"/>
        <v>48.426169989464981</v>
      </c>
      <c r="N28">
        <v>19</v>
      </c>
      <c r="O28">
        <f t="shared" si="3"/>
        <v>31.037687791751296</v>
      </c>
      <c r="Q28">
        <v>19</v>
      </c>
      <c r="R28">
        <f t="shared" si="8"/>
        <v>139.12448272117922</v>
      </c>
      <c r="T28">
        <v>19</v>
      </c>
      <c r="U28">
        <f t="shared" si="4"/>
        <v>58.014169989464989</v>
      </c>
      <c r="W28">
        <v>19</v>
      </c>
      <c r="X28">
        <f t="shared" si="5"/>
        <v>34.002803799213766</v>
      </c>
      <c r="Z28">
        <v>19</v>
      </c>
      <c r="AA28">
        <f t="shared" si="6"/>
        <v>58.926169989464981</v>
      </c>
    </row>
    <row r="29" spans="1:27" x14ac:dyDescent="0.25">
      <c r="A29">
        <v>0.35049658734074796</v>
      </c>
      <c r="B29">
        <v>20</v>
      </c>
      <c r="C29">
        <f t="shared" si="0"/>
        <v>94.240298049838756</v>
      </c>
      <c r="E29">
        <v>20</v>
      </c>
      <c r="F29">
        <f t="shared" si="1"/>
        <v>96.240298049838756</v>
      </c>
      <c r="H29">
        <v>20</v>
      </c>
      <c r="I29">
        <f t="shared" si="7"/>
        <v>68.831532931902274</v>
      </c>
      <c r="K29">
        <v>20</v>
      </c>
      <c r="L29">
        <f t="shared" si="2"/>
        <v>84.240298049838756</v>
      </c>
      <c r="N29">
        <v>20</v>
      </c>
      <c r="O29">
        <f t="shared" si="3"/>
        <v>67.346155912839237</v>
      </c>
      <c r="Q29">
        <v>20</v>
      </c>
      <c r="R29">
        <f t="shared" si="8"/>
        <v>176.29671835244676</v>
      </c>
      <c r="T29">
        <v>20</v>
      </c>
      <c r="U29">
        <f t="shared" si="4"/>
        <v>93.440298049838759</v>
      </c>
      <c r="W29">
        <v>20</v>
      </c>
      <c r="X29">
        <f t="shared" si="5"/>
        <v>69.61161565703901</v>
      </c>
      <c r="Z29">
        <v>20</v>
      </c>
      <c r="AA29">
        <f t="shared" si="6"/>
        <v>94.240298049838756</v>
      </c>
    </row>
    <row r="30" spans="1:27" x14ac:dyDescent="0.25">
      <c r="A30">
        <v>0.82546314718742542</v>
      </c>
      <c r="B30">
        <v>21</v>
      </c>
      <c r="C30">
        <f t="shared" si="0"/>
        <v>114.04581267046345</v>
      </c>
      <c r="E30">
        <v>21</v>
      </c>
      <c r="F30">
        <f t="shared" si="1"/>
        <v>116.10696267046345</v>
      </c>
      <c r="H30">
        <v>21</v>
      </c>
      <c r="I30">
        <f t="shared" si="7"/>
        <v>90.143890451395137</v>
      </c>
      <c r="K30">
        <v>21</v>
      </c>
      <c r="L30">
        <f t="shared" si="2"/>
        <v>104.54581267046345</v>
      </c>
      <c r="N30">
        <v>21</v>
      </c>
      <c r="O30">
        <f t="shared" si="3"/>
        <v>88.123302588678854</v>
      </c>
      <c r="Q30">
        <v>21</v>
      </c>
      <c r="R30">
        <f t="shared" si="8"/>
        <v>197.88744139571784</v>
      </c>
      <c r="T30">
        <v>21</v>
      </c>
      <c r="U30">
        <f t="shared" si="4"/>
        <v>113.37381267046345</v>
      </c>
      <c r="W30">
        <v>21</v>
      </c>
      <c r="X30">
        <f t="shared" si="5"/>
        <v>89.930420003592658</v>
      </c>
      <c r="Z30">
        <v>21</v>
      </c>
      <c r="AA30">
        <f t="shared" si="6"/>
        <v>114.04581267046345</v>
      </c>
    </row>
    <row r="31" spans="1:27" x14ac:dyDescent="0.25">
      <c r="A31">
        <v>0.63135254905921123</v>
      </c>
      <c r="B31">
        <v>22</v>
      </c>
      <c r="C31">
        <f t="shared" si="0"/>
        <v>105.03156612082095</v>
      </c>
      <c r="E31">
        <v>22</v>
      </c>
      <c r="F31">
        <f t="shared" si="1"/>
        <v>107.15676612082096</v>
      </c>
      <c r="H31">
        <v>22</v>
      </c>
      <c r="I31">
        <f t="shared" si="7"/>
        <v>82.666927046387755</v>
      </c>
      <c r="K31">
        <v>22</v>
      </c>
      <c r="L31">
        <f t="shared" si="2"/>
        <v>96.031566120820955</v>
      </c>
      <c r="N31">
        <v>22</v>
      </c>
      <c r="O31">
        <f t="shared" si="3"/>
        <v>80.057576680332716</v>
      </c>
      <c r="Q31">
        <v>22</v>
      </c>
      <c r="R31">
        <f t="shared" si="8"/>
        <v>190.59163974662943</v>
      </c>
      <c r="T31">
        <v>22</v>
      </c>
      <c r="U31">
        <f t="shared" si="4"/>
        <v>104.50356612082095</v>
      </c>
      <c r="W31">
        <v>22</v>
      </c>
      <c r="X31">
        <f t="shared" si="5"/>
        <v>81.643513112411526</v>
      </c>
      <c r="Z31">
        <v>22</v>
      </c>
      <c r="AA31">
        <f t="shared" si="6"/>
        <v>105.03156612082095</v>
      </c>
    </row>
    <row r="32" spans="1:27" x14ac:dyDescent="0.25">
      <c r="A32">
        <v>0.36274776262479747</v>
      </c>
      <c r="B32">
        <v>23</v>
      </c>
      <c r="C32">
        <f t="shared" si="0"/>
        <v>94.733144035414512</v>
      </c>
      <c r="E32">
        <v>23</v>
      </c>
      <c r="F32">
        <f t="shared" si="1"/>
        <v>96.926194035414511</v>
      </c>
      <c r="H32">
        <v>23</v>
      </c>
      <c r="I32">
        <f t="shared" si="7"/>
        <v>73.936843285138607</v>
      </c>
      <c r="K32">
        <v>23</v>
      </c>
      <c r="L32">
        <f t="shared" si="2"/>
        <v>86.233144035414512</v>
      </c>
      <c r="N32">
        <v>23</v>
      </c>
      <c r="O32">
        <f t="shared" si="3"/>
        <v>70.684235730325611</v>
      </c>
      <c r="Q32">
        <v>23</v>
      </c>
      <c r="R32">
        <f t="shared" si="8"/>
        <v>181.95026709090027</v>
      </c>
      <c r="T32">
        <v>23</v>
      </c>
      <c r="U32">
        <f t="shared" si="4"/>
        <v>94.365144035414517</v>
      </c>
      <c r="W32">
        <v>23</v>
      </c>
      <c r="X32">
        <f t="shared" si="5"/>
        <v>72.280024699699169</v>
      </c>
      <c r="Z32">
        <v>23</v>
      </c>
      <c r="AA32">
        <f t="shared" si="6"/>
        <v>94.733144035414512</v>
      </c>
    </row>
    <row r="33" spans="1:27" x14ac:dyDescent="0.25">
      <c r="A33">
        <v>0.64642443749591305</v>
      </c>
      <c r="B33">
        <v>24</v>
      </c>
      <c r="C33">
        <f t="shared" si="0"/>
        <v>105.63527430667671</v>
      </c>
      <c r="E33">
        <v>24</v>
      </c>
      <c r="F33">
        <f t="shared" si="1"/>
        <v>107.90087430667671</v>
      </c>
      <c r="H33">
        <v>24</v>
      </c>
      <c r="I33">
        <f t="shared" si="7"/>
        <v>86.438994416321378</v>
      </c>
      <c r="K33">
        <v>24</v>
      </c>
      <c r="L33">
        <f t="shared" si="2"/>
        <v>97.635274306676706</v>
      </c>
      <c r="N33">
        <v>24</v>
      </c>
      <c r="O33">
        <f t="shared" si="3"/>
        <v>82.487752656578493</v>
      </c>
      <c r="Q33">
        <v>24</v>
      </c>
      <c r="R33">
        <f t="shared" si="8"/>
        <v>194.45277656565713</v>
      </c>
      <c r="T33">
        <v>24</v>
      </c>
      <c r="U33">
        <f t="shared" si="4"/>
        <v>105.44327430667673</v>
      </c>
      <c r="W33">
        <v>24</v>
      </c>
      <c r="X33">
        <f t="shared" si="5"/>
        <v>84.316384120421787</v>
      </c>
      <c r="Z33">
        <v>24</v>
      </c>
      <c r="AA33">
        <f t="shared" si="6"/>
        <v>105.63527430667671</v>
      </c>
    </row>
    <row r="34" spans="1:27" x14ac:dyDescent="0.25">
      <c r="A34">
        <v>0.2803778906045723</v>
      </c>
      <c r="B34">
        <v>25</v>
      </c>
      <c r="C34">
        <f t="shared" si="0"/>
        <v>91.274210764990372</v>
      </c>
      <c r="E34">
        <v>25</v>
      </c>
      <c r="F34">
        <f t="shared" si="1"/>
        <v>93.617960764990372</v>
      </c>
      <c r="H34">
        <v>25</v>
      </c>
      <c r="I34">
        <f t="shared" si="7"/>
        <v>73.710274299996783</v>
      </c>
      <c r="K34">
        <v>25</v>
      </c>
      <c r="L34">
        <f t="shared" si="2"/>
        <v>83.774210764990372</v>
      </c>
      <c r="N34">
        <v>25</v>
      </c>
      <c r="O34">
        <f t="shared" si="3"/>
        <v>69.004196882459482</v>
      </c>
      <c r="Q34">
        <v>25</v>
      </c>
      <c r="R34">
        <f t="shared" si="8"/>
        <v>181.63960463657821</v>
      </c>
      <c r="T34">
        <v>25</v>
      </c>
      <c r="U34">
        <f t="shared" si="4"/>
        <v>91.274210764990372</v>
      </c>
      <c r="W34">
        <v>25</v>
      </c>
      <c r="X34">
        <f t="shared" si="5"/>
        <v>71.278777706735184</v>
      </c>
      <c r="Z34">
        <v>25</v>
      </c>
      <c r="AA34">
        <f t="shared" si="6"/>
        <v>91.274210764990372</v>
      </c>
    </row>
    <row r="35" spans="1:27" x14ac:dyDescent="0.25">
      <c r="A35">
        <v>0.1437254430979118</v>
      </c>
      <c r="B35">
        <v>26</v>
      </c>
      <c r="C35">
        <f t="shared" si="0"/>
        <v>84.044045238956869</v>
      </c>
      <c r="E35">
        <v>26</v>
      </c>
      <c r="F35">
        <f t="shared" si="1"/>
        <v>86.472445238956865</v>
      </c>
      <c r="H35">
        <v>26</v>
      </c>
      <c r="I35">
        <f t="shared" si="7"/>
        <v>68.145427723901193</v>
      </c>
      <c r="K35">
        <v>26</v>
      </c>
      <c r="L35">
        <f t="shared" si="2"/>
        <v>77.044045238956869</v>
      </c>
      <c r="N35">
        <v>26</v>
      </c>
      <c r="O35">
        <f t="shared" si="3"/>
        <v>62.627543543212738</v>
      </c>
      <c r="Q35">
        <v>26</v>
      </c>
      <c r="R35">
        <f t="shared" si="8"/>
        <v>175.9085644014875</v>
      </c>
      <c r="T35">
        <v>26</v>
      </c>
      <c r="U35">
        <f t="shared" si="4"/>
        <v>84.252045238956867</v>
      </c>
      <c r="W35">
        <v>26</v>
      </c>
      <c r="X35">
        <f t="shared" si="5"/>
        <v>65.549550188079976</v>
      </c>
      <c r="Z35">
        <v>26</v>
      </c>
      <c r="AA35">
        <f t="shared" si="6"/>
        <v>84.044045238956869</v>
      </c>
    </row>
    <row r="36" spans="1:27" x14ac:dyDescent="0.25">
      <c r="A36">
        <v>0.42792107787793932</v>
      </c>
      <c r="B36">
        <v>27</v>
      </c>
      <c r="C36">
        <f t="shared" si="0"/>
        <v>97.274958506411934</v>
      </c>
      <c r="E36">
        <v>27</v>
      </c>
      <c r="F36">
        <f t="shared" si="1"/>
        <v>99.795408506411945</v>
      </c>
      <c r="H36">
        <v>27</v>
      </c>
      <c r="I36">
        <f t="shared" si="7"/>
        <v>83.075301615654865</v>
      </c>
      <c r="K36">
        <v>27</v>
      </c>
      <c r="L36">
        <f t="shared" si="2"/>
        <v>90.774958506411934</v>
      </c>
      <c r="N36">
        <v>27</v>
      </c>
      <c r="O36">
        <f t="shared" si="3"/>
        <v>76.687921326317209</v>
      </c>
      <c r="Q36">
        <v>27</v>
      </c>
      <c r="R36">
        <f t="shared" si="8"/>
        <v>190.5931629995882</v>
      </c>
      <c r="T36">
        <v>27</v>
      </c>
      <c r="U36">
        <f t="shared" si="4"/>
        <v>97.706958506411922</v>
      </c>
      <c r="W36">
        <v>27</v>
      </c>
      <c r="X36">
        <f t="shared" si="5"/>
        <v>80.445559910281219</v>
      </c>
      <c r="Z36">
        <v>27</v>
      </c>
      <c r="AA36">
        <f t="shared" si="6"/>
        <v>97.274958506411934</v>
      </c>
    </row>
    <row r="37" spans="1:27" x14ac:dyDescent="0.25">
      <c r="A37">
        <v>0.55790743506573259</v>
      </c>
      <c r="B37">
        <v>28</v>
      </c>
      <c r="C37">
        <f t="shared" si="0"/>
        <v>102.18498873118585</v>
      </c>
      <c r="E37">
        <v>28</v>
      </c>
      <c r="F37">
        <f t="shared" si="1"/>
        <v>104.80578873118584</v>
      </c>
      <c r="H37">
        <v>28</v>
      </c>
      <c r="I37">
        <f t="shared" si="7"/>
        <v>89.718613745990922</v>
      </c>
      <c r="K37">
        <v>28</v>
      </c>
      <c r="L37">
        <f t="shared" si="2"/>
        <v>96.184988731185854</v>
      </c>
      <c r="N37">
        <v>28</v>
      </c>
      <c r="O37">
        <f t="shared" si="3"/>
        <v>82.403377587044034</v>
      </c>
      <c r="Q37">
        <v>28</v>
      </c>
      <c r="R37">
        <f t="shared" si="8"/>
        <v>196.9144248542195</v>
      </c>
      <c r="T37">
        <v>28</v>
      </c>
      <c r="U37">
        <f t="shared" si="4"/>
        <v>102.85698873118587</v>
      </c>
      <c r="W37">
        <v>28</v>
      </c>
      <c r="X37">
        <f t="shared" si="5"/>
        <v>87.170065523158343</v>
      </c>
      <c r="Z37">
        <v>28</v>
      </c>
      <c r="AA37">
        <f t="shared" si="6"/>
        <v>102.18498873118585</v>
      </c>
    </row>
    <row r="38" spans="1:27" x14ac:dyDescent="0.25">
      <c r="A38">
        <v>0.44449303872822443</v>
      </c>
      <c r="B38">
        <v>29</v>
      </c>
      <c r="C38">
        <f t="shared" si="0"/>
        <v>97.906190537026887</v>
      </c>
      <c r="E38">
        <v>29</v>
      </c>
      <c r="F38">
        <f t="shared" si="1"/>
        <v>100.63654053702689</v>
      </c>
      <c r="H38">
        <v>29</v>
      </c>
      <c r="I38">
        <f t="shared" si="7"/>
        <v>87.208112074530561</v>
      </c>
      <c r="K38">
        <v>29</v>
      </c>
      <c r="L38">
        <f t="shared" si="2"/>
        <v>92.406190537026887</v>
      </c>
      <c r="N38">
        <v>29</v>
      </c>
      <c r="O38">
        <f t="shared" si="3"/>
        <v>78.906033935495586</v>
      </c>
      <c r="Q38">
        <v>29</v>
      </c>
      <c r="R38">
        <f t="shared" si="8"/>
        <v>194.00709628248171</v>
      </c>
      <c r="T38">
        <v>29</v>
      </c>
      <c r="U38">
        <f t="shared" si="4"/>
        <v>98.834190537026885</v>
      </c>
      <c r="W38">
        <v>29</v>
      </c>
      <c r="X38">
        <f t="shared" si="5"/>
        <v>84.839016238461099</v>
      </c>
      <c r="Z38">
        <v>29</v>
      </c>
      <c r="AA38">
        <f t="shared" si="6"/>
        <v>97.906190537026887</v>
      </c>
    </row>
    <row r="39" spans="1:27" x14ac:dyDescent="0.25">
      <c r="A39">
        <v>0.99391796753316464</v>
      </c>
      <c r="B39">
        <v>30</v>
      </c>
      <c r="C39">
        <f t="shared" si="0"/>
        <v>137.61023032769796</v>
      </c>
      <c r="E39">
        <v>30</v>
      </c>
      <c r="F39">
        <f t="shared" si="1"/>
        <v>140.46023032769796</v>
      </c>
      <c r="H39">
        <v>30</v>
      </c>
      <c r="I39">
        <f t="shared" si="7"/>
        <v>128.71617034722343</v>
      </c>
      <c r="K39">
        <v>30</v>
      </c>
      <c r="L39">
        <f t="shared" si="2"/>
        <v>132.61023032769796</v>
      </c>
      <c r="N39">
        <v>30</v>
      </c>
      <c r="O39">
        <f t="shared" si="3"/>
        <v>119.36767794706233</v>
      </c>
      <c r="Q39">
        <v>30</v>
      </c>
      <c r="R39">
        <f t="shared" si="8"/>
        <v>235.04527891117996</v>
      </c>
      <c r="T39">
        <v>30</v>
      </c>
      <c r="U39">
        <f t="shared" si="4"/>
        <v>138.81023032769798</v>
      </c>
      <c r="W39">
        <v>30</v>
      </c>
      <c r="X39">
        <f t="shared" si="5"/>
        <v>126.60679010274345</v>
      </c>
      <c r="Z39">
        <v>30</v>
      </c>
      <c r="AA39">
        <f t="shared" si="6"/>
        <v>137.61023032769796</v>
      </c>
    </row>
    <row r="40" spans="1:27" x14ac:dyDescent="0.25">
      <c r="A40">
        <v>0.36134666847540242</v>
      </c>
      <c r="B40">
        <v>31</v>
      </c>
      <c r="C40">
        <f t="shared" si="0"/>
        <v>94.67707719221562</v>
      </c>
      <c r="E40">
        <v>31</v>
      </c>
      <c r="F40">
        <f t="shared" si="1"/>
        <v>97.657727192215617</v>
      </c>
      <c r="H40">
        <v>31</v>
      </c>
      <c r="I40">
        <f t="shared" si="7"/>
        <v>87.623479284532721</v>
      </c>
      <c r="K40">
        <v>31</v>
      </c>
      <c r="L40">
        <f t="shared" si="2"/>
        <v>90.17707719221562</v>
      </c>
      <c r="N40">
        <v>31</v>
      </c>
      <c r="O40">
        <f t="shared" si="3"/>
        <v>77.168450375811631</v>
      </c>
      <c r="Q40">
        <v>31</v>
      </c>
      <c r="R40">
        <f t="shared" si="8"/>
        <v>193.41115265866142</v>
      </c>
      <c r="T40">
        <v>31</v>
      </c>
      <c r="U40">
        <f t="shared" si="4"/>
        <v>96.16507719221562</v>
      </c>
      <c r="W40">
        <v>31</v>
      </c>
      <c r="X40">
        <f t="shared" si="5"/>
        <v>85.835038355284794</v>
      </c>
      <c r="Z40">
        <v>31</v>
      </c>
      <c r="AA40">
        <f t="shared" si="6"/>
        <v>94.67707719221562</v>
      </c>
    </row>
    <row r="41" spans="1:27" x14ac:dyDescent="0.25">
      <c r="A41">
        <v>0.93937751769210764</v>
      </c>
      <c r="B41">
        <v>32</v>
      </c>
      <c r="C41">
        <f t="shared" si="0"/>
        <v>123.2435371050334</v>
      </c>
      <c r="E41">
        <v>32</v>
      </c>
      <c r="F41">
        <f t="shared" si="1"/>
        <v>126.36673710503339</v>
      </c>
      <c r="H41">
        <v>32</v>
      </c>
      <c r="I41">
        <f t="shared" si="7"/>
        <v>118.06758107028097</v>
      </c>
      <c r="K41">
        <v>32</v>
      </c>
      <c r="L41">
        <f t="shared" si="2"/>
        <v>119.2435371050334</v>
      </c>
      <c r="N41">
        <v>32</v>
      </c>
      <c r="O41">
        <f t="shared" si="3"/>
        <v>106.44537561842583</v>
      </c>
      <c r="Q41">
        <v>32</v>
      </c>
      <c r="R41">
        <f t="shared" si="8"/>
        <v>223.2435371050334</v>
      </c>
      <c r="T41">
        <v>32</v>
      </c>
      <c r="U41">
        <f t="shared" si="4"/>
        <v>125.0355371050334</v>
      </c>
      <c r="W41">
        <v>32</v>
      </c>
      <c r="X41">
        <f t="shared" si="5"/>
        <v>116.64138221880478</v>
      </c>
      <c r="Z41">
        <v>32</v>
      </c>
      <c r="AA41">
        <f t="shared" si="6"/>
        <v>123.2435371050334</v>
      </c>
    </row>
    <row r="42" spans="1:27" x14ac:dyDescent="0.25">
      <c r="A42">
        <v>0.73685338639685771</v>
      </c>
      <c r="B42">
        <v>33</v>
      </c>
      <c r="C42">
        <f t="shared" si="0"/>
        <v>109.50511848122375</v>
      </c>
      <c r="E42">
        <v>33</v>
      </c>
      <c r="F42">
        <f t="shared" si="1"/>
        <v>112.78366848122374</v>
      </c>
      <c r="H42">
        <v>33</v>
      </c>
      <c r="I42">
        <f t="shared" si="7"/>
        <v>106.24473520132534</v>
      </c>
      <c r="K42">
        <v>33</v>
      </c>
      <c r="L42">
        <f t="shared" si="2"/>
        <v>106.00511848122375</v>
      </c>
      <c r="N42">
        <v>33</v>
      </c>
      <c r="O42">
        <f t="shared" si="3"/>
        <v>93.394223523565245</v>
      </c>
      <c r="Q42">
        <v>33</v>
      </c>
      <c r="R42">
        <f t="shared" si="8"/>
        <v>210.73978018977957</v>
      </c>
      <c r="T42">
        <v>33</v>
      </c>
      <c r="U42">
        <f t="shared" si="4"/>
        <v>111.61711848122377</v>
      </c>
      <c r="W42">
        <v>33</v>
      </c>
      <c r="X42">
        <f t="shared" si="5"/>
        <v>105.20144873985942</v>
      </c>
      <c r="Z42">
        <v>33</v>
      </c>
      <c r="AA42">
        <f t="shared" si="6"/>
        <v>109.50511848122375</v>
      </c>
    </row>
    <row r="43" spans="1:27" x14ac:dyDescent="0.25">
      <c r="A43">
        <v>0.24385120354786571</v>
      </c>
      <c r="B43">
        <v>34</v>
      </c>
      <c r="C43">
        <f t="shared" si="0"/>
        <v>89.590483108199948</v>
      </c>
      <c r="E43">
        <v>34</v>
      </c>
      <c r="F43">
        <f t="shared" si="1"/>
        <v>93.038083108199942</v>
      </c>
      <c r="H43">
        <v>34</v>
      </c>
      <c r="I43">
        <f t="shared" si="7"/>
        <v>88.284369719722349</v>
      </c>
      <c r="K43">
        <v>34</v>
      </c>
      <c r="L43">
        <f t="shared" si="2"/>
        <v>86.590483108199948</v>
      </c>
      <c r="N43">
        <v>34</v>
      </c>
      <c r="O43">
        <f t="shared" si="3"/>
        <v>74.14395659984649</v>
      </c>
      <c r="Q43">
        <v>34</v>
      </c>
      <c r="R43">
        <f t="shared" si="8"/>
        <v>192.03022895818847</v>
      </c>
      <c r="T43">
        <v>34</v>
      </c>
      <c r="U43">
        <f t="shared" si="4"/>
        <v>92.038483108199955</v>
      </c>
      <c r="W43">
        <v>34</v>
      </c>
      <c r="X43">
        <f t="shared" si="5"/>
        <v>87.62349818899753</v>
      </c>
      <c r="Z43">
        <v>34</v>
      </c>
      <c r="AA43">
        <f t="shared" si="6"/>
        <v>89.590483108199948</v>
      </c>
    </row>
    <row r="44" spans="1:27" x14ac:dyDescent="0.25">
      <c r="A44">
        <v>0.32332520875676662</v>
      </c>
      <c r="B44">
        <v>35</v>
      </c>
      <c r="C44">
        <f t="shared" si="0"/>
        <v>93.123693566821999</v>
      </c>
      <c r="E44">
        <v>35</v>
      </c>
      <c r="F44">
        <f t="shared" si="1"/>
        <v>96.754943566821993</v>
      </c>
      <c r="H44">
        <v>35</v>
      </c>
      <c r="I44">
        <f t="shared" si="7"/>
        <v>93.811328940345831</v>
      </c>
      <c r="K44">
        <v>35</v>
      </c>
      <c r="L44">
        <f t="shared" si="2"/>
        <v>90.623693566821999</v>
      </c>
      <c r="N44">
        <v>35</v>
      </c>
      <c r="O44">
        <f t="shared" si="3"/>
        <v>78.318973763653062</v>
      </c>
      <c r="Q44">
        <v>35</v>
      </c>
      <c r="R44">
        <f t="shared" si="8"/>
        <v>196.74049403086184</v>
      </c>
      <c r="T44">
        <v>35</v>
      </c>
      <c r="U44">
        <f t="shared" si="4"/>
        <v>95.923693566821996</v>
      </c>
      <c r="W44">
        <v>35</v>
      </c>
      <c r="X44">
        <f t="shared" si="5"/>
        <v>93.510852567174766</v>
      </c>
      <c r="Z44">
        <v>35</v>
      </c>
      <c r="AA44">
        <f t="shared" si="6"/>
        <v>93.123693566821999</v>
      </c>
    </row>
    <row r="45" spans="1:27" x14ac:dyDescent="0.25">
      <c r="A45">
        <v>0.20510213259196353</v>
      </c>
      <c r="B45">
        <v>36</v>
      </c>
      <c r="C45">
        <f t="shared" si="0"/>
        <v>87.646986689221606</v>
      </c>
      <c r="E45">
        <v>36</v>
      </c>
      <c r="F45">
        <f t="shared" si="1"/>
        <v>91.477386689221603</v>
      </c>
      <c r="H45">
        <v>36</v>
      </c>
      <c r="I45">
        <f t="shared" si="7"/>
        <v>90.368647221415983</v>
      </c>
      <c r="K45">
        <v>36</v>
      </c>
      <c r="L45">
        <f t="shared" si="2"/>
        <v>85.646986689221606</v>
      </c>
      <c r="N45">
        <v>36</v>
      </c>
      <c r="O45">
        <f t="shared" si="3"/>
        <v>73.461880199172839</v>
      </c>
      <c r="Q45">
        <v>36</v>
      </c>
      <c r="R45">
        <f t="shared" si="8"/>
        <v>192.41423779714353</v>
      </c>
      <c r="T45">
        <v>36</v>
      </c>
      <c r="U45">
        <f t="shared" si="4"/>
        <v>90.814986689221612</v>
      </c>
      <c r="W45">
        <v>36</v>
      </c>
      <c r="X45">
        <f t="shared" si="5"/>
        <v>90.384853158433955</v>
      </c>
      <c r="Z45">
        <v>36</v>
      </c>
      <c r="AA45">
        <f t="shared" si="6"/>
        <v>87.646986689221606</v>
      </c>
    </row>
    <row r="46" spans="1:27" x14ac:dyDescent="0.25">
      <c r="A46">
        <v>0.24468745270970582</v>
      </c>
      <c r="B46">
        <v>37</v>
      </c>
      <c r="C46">
        <f t="shared" si="0"/>
        <v>89.63044923429284</v>
      </c>
      <c r="E46">
        <v>37</v>
      </c>
      <c r="F46">
        <f t="shared" si="1"/>
        <v>93.676399234292845</v>
      </c>
      <c r="H46">
        <v>37</v>
      </c>
      <c r="I46">
        <f t="shared" si="7"/>
        <v>94.427224959011056</v>
      </c>
      <c r="K46">
        <v>37</v>
      </c>
      <c r="L46">
        <f t="shared" si="2"/>
        <v>88.13044923429284</v>
      </c>
      <c r="N46">
        <v>37</v>
      </c>
      <c r="O46">
        <f t="shared" si="3"/>
        <v>76.043159533383417</v>
      </c>
      <c r="Q46">
        <v>37</v>
      </c>
      <c r="R46">
        <f t="shared" si="8"/>
        <v>195.52286288214461</v>
      </c>
      <c r="T46">
        <v>37</v>
      </c>
      <c r="U46">
        <f t="shared" si="4"/>
        <v>93.182449234292832</v>
      </c>
      <c r="W46">
        <v>37</v>
      </c>
      <c r="X46">
        <f t="shared" si="5"/>
        <v>94.694721675759936</v>
      </c>
      <c r="Z46">
        <v>37</v>
      </c>
      <c r="AA46">
        <f t="shared" si="6"/>
        <v>89.63044923429284</v>
      </c>
    </row>
    <row r="47" spans="1:27" x14ac:dyDescent="0.25">
      <c r="A47">
        <v>0.93016008744205048</v>
      </c>
      <c r="B47">
        <v>38</v>
      </c>
      <c r="C47">
        <f t="shared" si="0"/>
        <v>122.15476565853228</v>
      </c>
      <c r="E47">
        <v>38</v>
      </c>
      <c r="F47">
        <f t="shared" si="1"/>
        <v>126.43356565853227</v>
      </c>
      <c r="H47">
        <v>38</v>
      </c>
      <c r="I47">
        <f t="shared" si="7"/>
        <v>129.06857668337321</v>
      </c>
      <c r="K47">
        <v>38</v>
      </c>
      <c r="L47">
        <f t="shared" si="2"/>
        <v>121.15476565853228</v>
      </c>
      <c r="N47">
        <v>38</v>
      </c>
      <c r="O47">
        <f t="shared" si="3"/>
        <v>109.14391822223249</v>
      </c>
      <c r="Q47">
        <v>38</v>
      </c>
      <c r="R47">
        <f t="shared" si="8"/>
        <v>229.14827106669367</v>
      </c>
      <c r="T47">
        <v>38</v>
      </c>
      <c r="U47">
        <f t="shared" si="4"/>
        <v>126.10676565853228</v>
      </c>
      <c r="W47">
        <v>38</v>
      </c>
      <c r="X47">
        <f t="shared" si="5"/>
        <v>129.50049323154437</v>
      </c>
      <c r="Z47">
        <v>38</v>
      </c>
      <c r="AA47">
        <f t="shared" si="6"/>
        <v>122.15476565853228</v>
      </c>
    </row>
    <row r="48" spans="1:27" x14ac:dyDescent="0.25">
      <c r="A48">
        <v>0.23676924180012615</v>
      </c>
      <c r="B48">
        <v>39</v>
      </c>
      <c r="C48">
        <f t="shared" si="0"/>
        <v>89.248995858014183</v>
      </c>
      <c r="E48">
        <v>39</v>
      </c>
      <c r="F48">
        <f t="shared" si="1"/>
        <v>93.778845858014193</v>
      </c>
      <c r="H48">
        <v>39</v>
      </c>
      <c r="I48">
        <f t="shared" si="7"/>
        <v>98.322609132924242</v>
      </c>
      <c r="K48">
        <v>39</v>
      </c>
      <c r="L48">
        <f t="shared" si="2"/>
        <v>88.748995858014183</v>
      </c>
      <c r="N48">
        <v>39</v>
      </c>
      <c r="O48">
        <f t="shared" si="3"/>
        <v>76.793660039272538</v>
      </c>
      <c r="Q48">
        <v>39</v>
      </c>
      <c r="R48">
        <f t="shared" si="8"/>
        <v>197.32065078419856</v>
      </c>
      <c r="T48">
        <v>39</v>
      </c>
      <c r="U48">
        <f t="shared" si="4"/>
        <v>93.616995858014178</v>
      </c>
      <c r="W48">
        <v>39</v>
      </c>
      <c r="X48">
        <f t="shared" si="5"/>
        <v>98.810977364600987</v>
      </c>
      <c r="Z48">
        <v>39</v>
      </c>
      <c r="AA48">
        <f t="shared" si="6"/>
        <v>89.248995858014183</v>
      </c>
    </row>
    <row r="49" spans="1:27" x14ac:dyDescent="0.25">
      <c r="A49">
        <v>0.86862869754344563</v>
      </c>
      <c r="B49">
        <v>40</v>
      </c>
      <c r="C49">
        <f t="shared" si="0"/>
        <v>116.79898477554374</v>
      </c>
      <c r="E49">
        <v>40</v>
      </c>
      <c r="F49">
        <f t="shared" si="1"/>
        <v>121.59898477554376</v>
      </c>
      <c r="H49">
        <v>40</v>
      </c>
      <c r="I49">
        <f t="shared" si="7"/>
        <v>128.07603120016714</v>
      </c>
      <c r="K49">
        <v>40</v>
      </c>
      <c r="L49">
        <f t="shared" si="2"/>
        <v>116.79898477554374</v>
      </c>
      <c r="N49">
        <v>40</v>
      </c>
      <c r="O49">
        <f t="shared" si="3"/>
        <v>104.87869257333199</v>
      </c>
      <c r="Q49">
        <v>40</v>
      </c>
      <c r="R49">
        <f t="shared" si="8"/>
        <v>225.92689529379837</v>
      </c>
      <c r="T49">
        <v>40</v>
      </c>
      <c r="U49">
        <f t="shared" si="4"/>
        <v>121.59898477554376</v>
      </c>
      <c r="W49">
        <v>40</v>
      </c>
      <c r="X49">
        <f t="shared" si="5"/>
        <v>128.49234739092338</v>
      </c>
      <c r="Z49">
        <v>40</v>
      </c>
      <c r="AA49">
        <f t="shared" si="6"/>
        <v>116.79898477554374</v>
      </c>
    </row>
    <row r="50" spans="1:27" x14ac:dyDescent="0.25">
      <c r="A50">
        <v>0.42004490734491162</v>
      </c>
      <c r="B50">
        <v>41</v>
      </c>
      <c r="C50">
        <f t="shared" si="0"/>
        <v>96.973321048519907</v>
      </c>
      <c r="E50">
        <v>41</v>
      </c>
      <c r="F50">
        <f t="shared" si="1"/>
        <v>102.06347104851992</v>
      </c>
      <c r="H50">
        <v>41</v>
      </c>
      <c r="I50">
        <f t="shared" si="7"/>
        <v>110.49831292514021</v>
      </c>
      <c r="K50">
        <v>41</v>
      </c>
      <c r="L50">
        <f t="shared" si="2"/>
        <v>97.473321048519907</v>
      </c>
      <c r="N50">
        <v>41</v>
      </c>
      <c r="O50">
        <f t="shared" si="3"/>
        <v>85.568082920540817</v>
      </c>
      <c r="Q50">
        <v>41</v>
      </c>
      <c r="R50">
        <f t="shared" si="8"/>
        <v>207.13656887609838</v>
      </c>
      <c r="T50">
        <v>41</v>
      </c>
      <c r="U50">
        <f t="shared" si="4"/>
        <v>102.2213210485199</v>
      </c>
      <c r="W50">
        <v>41</v>
      </c>
      <c r="X50">
        <f t="shared" si="5"/>
        <v>110.69427365830023</v>
      </c>
      <c r="Z50">
        <v>41</v>
      </c>
      <c r="AA50">
        <f t="shared" si="6"/>
        <v>96.973321048519907</v>
      </c>
    </row>
    <row r="51" spans="1:27" x14ac:dyDescent="0.25">
      <c r="A51">
        <v>0.67466015732139129</v>
      </c>
      <c r="B51">
        <v>42</v>
      </c>
      <c r="C51">
        <f t="shared" si="0"/>
        <v>106.7922724109094</v>
      </c>
      <c r="E51">
        <v>42</v>
      </c>
      <c r="F51">
        <f t="shared" si="1"/>
        <v>112.19347241090941</v>
      </c>
      <c r="H51">
        <v>42</v>
      </c>
      <c r="I51">
        <f t="shared" si="7"/>
        <v>122.61062124996398</v>
      </c>
      <c r="K51">
        <v>42</v>
      </c>
      <c r="L51">
        <f t="shared" si="2"/>
        <v>107.7922724109094</v>
      </c>
      <c r="N51">
        <v>42</v>
      </c>
      <c r="O51">
        <f t="shared" si="3"/>
        <v>95.882590291348109</v>
      </c>
      <c r="Q51">
        <v>42</v>
      </c>
      <c r="R51">
        <f t="shared" si="8"/>
        <v>217.97084890758481</v>
      </c>
      <c r="T51">
        <v>42</v>
      </c>
      <c r="U51">
        <f t="shared" si="4"/>
        <v>112.50427241090939</v>
      </c>
      <c r="W51">
        <v>42</v>
      </c>
      <c r="X51">
        <f t="shared" si="5"/>
        <v>122.4190268683671</v>
      </c>
      <c r="Z51">
        <v>42</v>
      </c>
      <c r="AA51">
        <f t="shared" si="6"/>
        <v>106.7922724109094</v>
      </c>
    </row>
    <row r="52" spans="1:27" x14ac:dyDescent="0.25">
      <c r="A52">
        <v>0.54234576339100715</v>
      </c>
      <c r="B52">
        <v>43</v>
      </c>
      <c r="C52">
        <f t="shared" si="0"/>
        <v>101.59517794821637</v>
      </c>
      <c r="E52">
        <v>43</v>
      </c>
      <c r="F52">
        <f t="shared" si="1"/>
        <v>107.32922794821637</v>
      </c>
      <c r="H52">
        <v>43</v>
      </c>
      <c r="I52">
        <f t="shared" si="7"/>
        <v>119.75321263350611</v>
      </c>
      <c r="K52">
        <v>43</v>
      </c>
      <c r="L52">
        <f t="shared" si="2"/>
        <v>103.09517794821637</v>
      </c>
      <c r="N52">
        <v>43</v>
      </c>
      <c r="O52">
        <f t="shared" si="3"/>
        <v>91.162055636316239</v>
      </c>
      <c r="Q52">
        <v>43</v>
      </c>
      <c r="R52">
        <f t="shared" si="8"/>
        <v>213.76992403240618</v>
      </c>
      <c r="T52">
        <v>43</v>
      </c>
      <c r="U52">
        <f t="shared" si="4"/>
        <v>107.78717794821638</v>
      </c>
      <c r="W52">
        <v>43</v>
      </c>
      <c r="X52">
        <f t="shared" si="5"/>
        <v>118.98903007450907</v>
      </c>
      <c r="Z52">
        <v>43</v>
      </c>
      <c r="AA52">
        <f t="shared" si="6"/>
        <v>101.59517794821637</v>
      </c>
    </row>
    <row r="53" spans="1:27" x14ac:dyDescent="0.25">
      <c r="A53">
        <v>8.3243401541918782E-2</v>
      </c>
      <c r="B53">
        <v>44</v>
      </c>
      <c r="C53">
        <f t="shared" si="0"/>
        <v>79.246285669271927</v>
      </c>
      <c r="E53">
        <v>44</v>
      </c>
      <c r="F53">
        <f t="shared" si="1"/>
        <v>85.335885669271917</v>
      </c>
      <c r="H53">
        <v>44</v>
      </c>
      <c r="I53">
        <f t="shared" si="7"/>
        <v>99.791270990132418</v>
      </c>
      <c r="K53">
        <v>44</v>
      </c>
      <c r="L53">
        <f t="shared" si="2"/>
        <v>81.246285669271927</v>
      </c>
      <c r="N53">
        <v>44</v>
      </c>
      <c r="O53">
        <f t="shared" si="3"/>
        <v>69.271236757303413</v>
      </c>
      <c r="Q53">
        <v>44</v>
      </c>
      <c r="R53">
        <f t="shared" si="8"/>
        <v>192.39883699636678</v>
      </c>
      <c r="T53">
        <v>44</v>
      </c>
      <c r="U53">
        <f t="shared" si="4"/>
        <v>85.934285669271929</v>
      </c>
      <c r="W53">
        <v>44</v>
      </c>
      <c r="X53">
        <f t="shared" si="5"/>
        <v>98.252846401549064</v>
      </c>
      <c r="Z53">
        <v>44</v>
      </c>
      <c r="AA53">
        <f t="shared" si="6"/>
        <v>79.246285669271927</v>
      </c>
    </row>
    <row r="54" spans="1:27" x14ac:dyDescent="0.25">
      <c r="A54">
        <v>0.67071156205304217</v>
      </c>
      <c r="B54">
        <v>45</v>
      </c>
      <c r="C54">
        <f t="shared" si="0"/>
        <v>106.62818275632198</v>
      </c>
      <c r="E54">
        <v>45</v>
      </c>
      <c r="F54">
        <f t="shared" si="1"/>
        <v>113.09693275632198</v>
      </c>
      <c r="H54">
        <v>45</v>
      </c>
      <c r="I54">
        <f t="shared" si="7"/>
        <v>129.60833831416949</v>
      </c>
      <c r="K54">
        <v>45</v>
      </c>
      <c r="L54">
        <f t="shared" si="2"/>
        <v>109.12818275632198</v>
      </c>
      <c r="N54">
        <v>45</v>
      </c>
      <c r="O54">
        <f t="shared" si="3"/>
        <v>97.09323626641104</v>
      </c>
      <c r="Q54">
        <v>45</v>
      </c>
      <c r="R54">
        <f t="shared" si="8"/>
        <v>220.74091959015436</v>
      </c>
      <c r="T54">
        <v>45</v>
      </c>
      <c r="U54">
        <f t="shared" si="4"/>
        <v>113.82818275632198</v>
      </c>
      <c r="W54">
        <v>45</v>
      </c>
      <c r="X54">
        <f t="shared" si="5"/>
        <v>127.07874851597646</v>
      </c>
      <c r="Z54">
        <v>45</v>
      </c>
      <c r="AA54">
        <f t="shared" si="6"/>
        <v>106.62818275632198</v>
      </c>
    </row>
    <row r="55" spans="1:27" x14ac:dyDescent="0.25">
      <c r="A55">
        <v>0.38573121402808042</v>
      </c>
      <c r="B55">
        <v>46</v>
      </c>
      <c r="C55">
        <f t="shared" si="0"/>
        <v>95.643062356687636</v>
      </c>
      <c r="E55">
        <v>46</v>
      </c>
      <c r="F55">
        <f t="shared" si="1"/>
        <v>102.51546235668764</v>
      </c>
      <c r="H55">
        <v>46</v>
      </c>
      <c r="I55">
        <f t="shared" si="7"/>
        <v>121.10758185350254</v>
      </c>
      <c r="K55">
        <v>46</v>
      </c>
      <c r="L55">
        <f t="shared" si="2"/>
        <v>98.643062356687636</v>
      </c>
      <c r="N55">
        <v>46</v>
      </c>
      <c r="O55">
        <f t="shared" si="3"/>
        <v>86.53076625520201</v>
      </c>
      <c r="Q55">
        <v>46</v>
      </c>
      <c r="R55">
        <f t="shared" si="8"/>
        <v>210.6990636378016</v>
      </c>
      <c r="T55">
        <v>46</v>
      </c>
      <c r="U55">
        <f t="shared" si="4"/>
        <v>103.37106235668763</v>
      </c>
      <c r="W55">
        <v>46</v>
      </c>
      <c r="X55">
        <f t="shared" si="5"/>
        <v>117.35611247426269</v>
      </c>
      <c r="Z55">
        <v>46</v>
      </c>
      <c r="AA55">
        <f t="shared" si="6"/>
        <v>95.643062356687636</v>
      </c>
    </row>
    <row r="56" spans="1:27" x14ac:dyDescent="0.25">
      <c r="A56">
        <v>0.62135117932370487</v>
      </c>
      <c r="B56">
        <v>47</v>
      </c>
      <c r="C56">
        <f t="shared" si="0"/>
        <v>104.6354709995623</v>
      </c>
      <c r="E56">
        <v>47</v>
      </c>
      <c r="F56">
        <f t="shared" si="1"/>
        <v>111.9369209995623</v>
      </c>
      <c r="H56">
        <v>47</v>
      </c>
      <c r="I56">
        <f t="shared" si="7"/>
        <v>132.63454191602588</v>
      </c>
      <c r="K56">
        <v>47</v>
      </c>
      <c r="L56">
        <f t="shared" si="2"/>
        <v>108.1354709995623</v>
      </c>
      <c r="N56">
        <v>47</v>
      </c>
      <c r="O56">
        <f t="shared" si="3"/>
        <v>95.928893755535171</v>
      </c>
      <c r="Q56">
        <v>47</v>
      </c>
      <c r="R56">
        <f t="shared" si="8"/>
        <v>220.61847217600894</v>
      </c>
      <c r="T56">
        <v>47</v>
      </c>
      <c r="U56">
        <f t="shared" si="4"/>
        <v>112.90747099956229</v>
      </c>
      <c r="W56">
        <v>47</v>
      </c>
      <c r="X56">
        <f t="shared" si="5"/>
        <v>127.41827890506411</v>
      </c>
      <c r="Z56">
        <v>47</v>
      </c>
      <c r="AA56">
        <f t="shared" si="6"/>
        <v>104.6354709995623</v>
      </c>
    </row>
    <row r="57" spans="1:27" x14ac:dyDescent="0.25">
      <c r="A57">
        <v>0.95903681014240771</v>
      </c>
      <c r="B57">
        <v>48</v>
      </c>
      <c r="C57">
        <f t="shared" si="0"/>
        <v>126.09424752556367</v>
      </c>
      <c r="E57">
        <v>48</v>
      </c>
      <c r="F57">
        <f t="shared" si="1"/>
        <v>133.85104752556367</v>
      </c>
      <c r="H57">
        <v>48</v>
      </c>
      <c r="I57">
        <f t="shared" si="7"/>
        <v>156.67907119671958</v>
      </c>
      <c r="K57">
        <v>48</v>
      </c>
      <c r="L57">
        <f t="shared" si="2"/>
        <v>130.09424752556367</v>
      </c>
      <c r="N57">
        <v>48</v>
      </c>
      <c r="O57">
        <f t="shared" si="3"/>
        <v>117.77697787617144</v>
      </c>
      <c r="Q57">
        <v>48</v>
      </c>
      <c r="R57">
        <f t="shared" si="8"/>
        <v>242.98860176510343</v>
      </c>
      <c r="T57">
        <v>48</v>
      </c>
      <c r="U57">
        <f t="shared" si="4"/>
        <v>134.92624752556367</v>
      </c>
      <c r="W57">
        <v>48</v>
      </c>
      <c r="X57">
        <f t="shared" si="5"/>
        <v>149.74459140314056</v>
      </c>
      <c r="Z57">
        <v>48</v>
      </c>
      <c r="AA57">
        <f t="shared" si="6"/>
        <v>126.09424752556367</v>
      </c>
    </row>
    <row r="58" spans="1:27" x14ac:dyDescent="0.25">
      <c r="A58">
        <v>0.72901160080396699</v>
      </c>
      <c r="B58">
        <v>49</v>
      </c>
      <c r="C58">
        <f t="shared" si="0"/>
        <v>109.14739629432728</v>
      </c>
      <c r="E58">
        <v>49</v>
      </c>
      <c r="F58">
        <f t="shared" si="1"/>
        <v>117.38674629432728</v>
      </c>
      <c r="H58">
        <v>49</v>
      </c>
      <c r="I58">
        <f t="shared" si="7"/>
        <v>142.37020839079813</v>
      </c>
      <c r="K58">
        <v>49</v>
      </c>
      <c r="L58">
        <f t="shared" si="2"/>
        <v>113.64739629432728</v>
      </c>
      <c r="N58">
        <v>49</v>
      </c>
      <c r="O58">
        <f t="shared" si="3"/>
        <v>101.20354137592943</v>
      </c>
      <c r="Q58">
        <v>49</v>
      </c>
      <c r="R58">
        <f t="shared" si="8"/>
        <v>226.93803874260524</v>
      </c>
      <c r="T58">
        <v>49</v>
      </c>
      <c r="U58">
        <f t="shared" si="4"/>
        <v>118.55539629432729</v>
      </c>
      <c r="W58">
        <v>49</v>
      </c>
      <c r="X58">
        <f t="shared" si="5"/>
        <v>133.45535401742325</v>
      </c>
      <c r="Z58">
        <v>49</v>
      </c>
      <c r="AA58">
        <f t="shared" si="6"/>
        <v>109.14739629432728</v>
      </c>
    </row>
    <row r="59" spans="1:27" x14ac:dyDescent="0.25">
      <c r="A59">
        <v>0.24291800239159456</v>
      </c>
      <c r="B59">
        <v>50</v>
      </c>
      <c r="C59">
        <f t="shared" si="0"/>
        <v>89.545796006955655</v>
      </c>
      <c r="E59">
        <v>50</v>
      </c>
      <c r="F59">
        <f t="shared" si="1"/>
        <v>98.295796006955655</v>
      </c>
      <c r="H59">
        <v>50</v>
      </c>
      <c r="I59">
        <f t="shared" si="7"/>
        <v>125.45988742990791</v>
      </c>
      <c r="K59">
        <v>50</v>
      </c>
      <c r="L59">
        <f t="shared" si="2"/>
        <v>94.545796006955655</v>
      </c>
      <c r="N59">
        <v>50</v>
      </c>
      <c r="O59">
        <f t="shared" si="3"/>
        <v>81.959978004831299</v>
      </c>
      <c r="Q59">
        <v>50</v>
      </c>
      <c r="R59">
        <f t="shared" si="8"/>
        <v>208.21821079561127</v>
      </c>
      <c r="T59">
        <v>50</v>
      </c>
      <c r="U59">
        <f t="shared" si="4"/>
        <v>99.545796006955655</v>
      </c>
      <c r="W59">
        <v>50</v>
      </c>
      <c r="X59">
        <f t="shared" si="5"/>
        <v>114.29560842196679</v>
      </c>
      <c r="Z59">
        <v>50</v>
      </c>
      <c r="AA59">
        <f t="shared" si="6"/>
        <v>89.545796006955655</v>
      </c>
    </row>
    <row r="60" spans="1:27" x14ac:dyDescent="0.25">
      <c r="A60">
        <v>1.9803264777802698E-2</v>
      </c>
      <c r="B60">
        <v>51</v>
      </c>
      <c r="C60">
        <f t="shared" si="0"/>
        <v>69.132561618836689</v>
      </c>
      <c r="E60">
        <v>51</v>
      </c>
      <c r="F60">
        <f t="shared" si="1"/>
        <v>78.422211618836684</v>
      </c>
      <c r="H60">
        <v>51</v>
      </c>
      <c r="I60">
        <f t="shared" si="7"/>
        <v>107.79229981705157</v>
      </c>
      <c r="K60">
        <v>51</v>
      </c>
      <c r="L60">
        <f t="shared" si="2"/>
        <v>74.632561618836689</v>
      </c>
      <c r="N60">
        <v>51</v>
      </c>
      <c r="O60">
        <f t="shared" si="3"/>
        <v>61.889913082684913</v>
      </c>
      <c r="Q60">
        <v>51</v>
      </c>
      <c r="R60">
        <f t="shared" si="8"/>
        <v>188.67275136158568</v>
      </c>
      <c r="T60">
        <v>51</v>
      </c>
      <c r="U60">
        <f t="shared" si="4"/>
        <v>79.740561618836693</v>
      </c>
      <c r="W60">
        <v>51</v>
      </c>
      <c r="X60">
        <f t="shared" si="5"/>
        <v>94.104547638633107</v>
      </c>
      <c r="Z60">
        <v>51</v>
      </c>
      <c r="AA60">
        <f t="shared" si="6"/>
        <v>69.132561618836689</v>
      </c>
    </row>
    <row r="61" spans="1:27" x14ac:dyDescent="0.25">
      <c r="A61">
        <v>0.11557312272579368</v>
      </c>
      <c r="B61">
        <v>52</v>
      </c>
      <c r="C61">
        <f t="shared" si="0"/>
        <v>82.038829116191209</v>
      </c>
      <c r="E61">
        <v>52</v>
      </c>
      <c r="F61">
        <f t="shared" si="1"/>
        <v>91.898029116191196</v>
      </c>
      <c r="H61">
        <v>52</v>
      </c>
      <c r="I61">
        <f t="shared" si="7"/>
        <v>123.49967983376919</v>
      </c>
      <c r="K61">
        <v>52</v>
      </c>
      <c r="L61">
        <f t="shared" si="2"/>
        <v>88.038829116191209</v>
      </c>
      <c r="N61">
        <v>52</v>
      </c>
      <c r="O61">
        <f t="shared" si="3"/>
        <v>75.124987081856517</v>
      </c>
      <c r="Q61">
        <v>52</v>
      </c>
      <c r="R61">
        <f t="shared" si="8"/>
        <v>202.43328666048723</v>
      </c>
      <c r="T61">
        <v>52</v>
      </c>
      <c r="U61">
        <f t="shared" si="4"/>
        <v>93.270829116191209</v>
      </c>
      <c r="W61">
        <v>52</v>
      </c>
      <c r="X61">
        <f t="shared" si="5"/>
        <v>107.0113356249984</v>
      </c>
      <c r="Z61">
        <v>52</v>
      </c>
      <c r="AA61">
        <f t="shared" si="6"/>
        <v>82.038829116191209</v>
      </c>
    </row>
    <row r="62" spans="1:27" x14ac:dyDescent="0.25">
      <c r="A62">
        <v>0.97861361426992666</v>
      </c>
      <c r="B62">
        <v>53</v>
      </c>
      <c r="C62">
        <f t="shared" si="0"/>
        <v>130.3888310130217</v>
      </c>
      <c r="E62">
        <v>53</v>
      </c>
      <c r="F62">
        <f t="shared" si="1"/>
        <v>140.84838101302171</v>
      </c>
      <c r="H62">
        <v>53</v>
      </c>
      <c r="I62">
        <f t="shared" si="7"/>
        <v>174.70738047641962</v>
      </c>
      <c r="K62">
        <v>53</v>
      </c>
      <c r="L62">
        <f t="shared" si="2"/>
        <v>136.8888310130217</v>
      </c>
      <c r="N62">
        <v>53</v>
      </c>
      <c r="O62">
        <f t="shared" si="3"/>
        <v>123.78993006389985</v>
      </c>
      <c r="Q62">
        <v>53</v>
      </c>
      <c r="R62">
        <f t="shared" si="8"/>
        <v>251.62451324063338</v>
      </c>
      <c r="T62">
        <v>53</v>
      </c>
      <c r="U62">
        <f t="shared" si="4"/>
        <v>142.26083101302171</v>
      </c>
      <c r="W62">
        <v>53</v>
      </c>
      <c r="X62">
        <f t="shared" si="5"/>
        <v>155.1402002751679</v>
      </c>
      <c r="Z62">
        <v>53</v>
      </c>
      <c r="AA62">
        <f t="shared" si="6"/>
        <v>130.3888310130217</v>
      </c>
    </row>
    <row r="63" spans="1:27" x14ac:dyDescent="0.25">
      <c r="A63">
        <v>0.92190012699753598</v>
      </c>
      <c r="B63">
        <v>54</v>
      </c>
      <c r="C63">
        <f t="shared" si="0"/>
        <v>121.26953857527103</v>
      </c>
      <c r="E63">
        <v>54</v>
      </c>
      <c r="F63">
        <f t="shared" si="1"/>
        <v>132.36113857527101</v>
      </c>
      <c r="H63">
        <v>54</v>
      </c>
      <c r="I63">
        <f t="shared" si="7"/>
        <v>168.50351612854723</v>
      </c>
      <c r="K63">
        <v>54</v>
      </c>
      <c r="L63">
        <f t="shared" si="2"/>
        <v>128.26953857527104</v>
      </c>
      <c r="N63">
        <v>54</v>
      </c>
      <c r="O63">
        <f t="shared" si="3"/>
        <v>114.97220296957138</v>
      </c>
      <c r="Q63">
        <v>54</v>
      </c>
      <c r="R63">
        <f t="shared" si="8"/>
        <v>243.33384206756301</v>
      </c>
      <c r="T63">
        <v>54</v>
      </c>
      <c r="U63">
        <f t="shared" si="4"/>
        <v>133.79753857527103</v>
      </c>
      <c r="W63">
        <v>54</v>
      </c>
      <c r="X63">
        <f t="shared" si="5"/>
        <v>145.58007568494094</v>
      </c>
      <c r="Z63">
        <v>54</v>
      </c>
      <c r="AA63">
        <f t="shared" si="6"/>
        <v>121.26953857527103</v>
      </c>
    </row>
    <row r="64" spans="1:27" x14ac:dyDescent="0.25">
      <c r="A64">
        <v>0.55306979153776681</v>
      </c>
      <c r="B64">
        <v>55</v>
      </c>
      <c r="C64">
        <f t="shared" si="0"/>
        <v>102.00131540510414</v>
      </c>
      <c r="E64">
        <v>55</v>
      </c>
      <c r="F64">
        <f t="shared" si="1"/>
        <v>113.75756540510413</v>
      </c>
      <c r="H64">
        <v>55</v>
      </c>
      <c r="I64">
        <f t="shared" si="7"/>
        <v>152.2096166024258</v>
      </c>
      <c r="K64">
        <v>55</v>
      </c>
      <c r="L64">
        <f t="shared" si="2"/>
        <v>109.50131540510414</v>
      </c>
      <c r="N64">
        <v>55</v>
      </c>
      <c r="O64">
        <f t="shared" si="3"/>
        <v>95.992650387703378</v>
      </c>
      <c r="Q64">
        <v>55</v>
      </c>
      <c r="R64">
        <f t="shared" si="8"/>
        <v>224.88205380845596</v>
      </c>
      <c r="T64">
        <v>55</v>
      </c>
      <c r="U64">
        <f t="shared" si="4"/>
        <v>115.20131540510414</v>
      </c>
      <c r="W64">
        <v>55</v>
      </c>
      <c r="X64">
        <f t="shared" si="5"/>
        <v>125.65523831387601</v>
      </c>
      <c r="Z64">
        <v>55</v>
      </c>
      <c r="AA64">
        <f t="shared" si="6"/>
        <v>102.00131540510414</v>
      </c>
    </row>
    <row r="65" spans="1:27" x14ac:dyDescent="0.25">
      <c r="A65">
        <v>0.62208231253997293</v>
      </c>
      <c r="B65">
        <v>56</v>
      </c>
      <c r="C65">
        <f t="shared" si="0"/>
        <v>104.66431428015345</v>
      </c>
      <c r="E65">
        <v>56</v>
      </c>
      <c r="F65">
        <f t="shared" si="1"/>
        <v>117.11871428015344</v>
      </c>
      <c r="H65">
        <v>56</v>
      </c>
      <c r="I65">
        <f t="shared" si="7"/>
        <v>157.9070244448036</v>
      </c>
      <c r="K65">
        <v>56</v>
      </c>
      <c r="L65">
        <f t="shared" si="2"/>
        <v>112.66431428015345</v>
      </c>
      <c r="N65">
        <v>56</v>
      </c>
      <c r="O65">
        <f t="shared" si="3"/>
        <v>98.931896690266584</v>
      </c>
      <c r="Q65">
        <v>56</v>
      </c>
      <c r="R65">
        <f t="shared" si="8"/>
        <v>228.34969722418245</v>
      </c>
      <c r="T65">
        <v>56</v>
      </c>
      <c r="U65">
        <f t="shared" si="4"/>
        <v>118.55231428015345</v>
      </c>
      <c r="W65">
        <v>56</v>
      </c>
      <c r="X65">
        <f t="shared" si="5"/>
        <v>127.45166909373705</v>
      </c>
      <c r="Z65">
        <v>56</v>
      </c>
      <c r="AA65">
        <f t="shared" si="6"/>
        <v>104.66431428015345</v>
      </c>
    </row>
    <row r="66" spans="1:27" x14ac:dyDescent="0.25">
      <c r="A66">
        <v>0.35166479459901401</v>
      </c>
      <c r="B66">
        <v>57</v>
      </c>
      <c r="C66">
        <f t="shared" si="0"/>
        <v>94.287553886357372</v>
      </c>
      <c r="E66">
        <v>57</v>
      </c>
      <c r="F66">
        <f t="shared" si="1"/>
        <v>107.47450388635737</v>
      </c>
      <c r="H66">
        <v>57</v>
      </c>
      <c r="I66">
        <f t="shared" si="7"/>
        <v>150.6259721456652</v>
      </c>
      <c r="K66">
        <v>57</v>
      </c>
      <c r="L66">
        <f t="shared" si="2"/>
        <v>102.78755388635737</v>
      </c>
      <c r="N66">
        <v>57</v>
      </c>
      <c r="O66">
        <f t="shared" si="3"/>
        <v>88.819422164763296</v>
      </c>
      <c r="Q66">
        <v>57</v>
      </c>
      <c r="R66">
        <f t="shared" si="8"/>
        <v>218.76616732276662</v>
      </c>
      <c r="T66">
        <v>57</v>
      </c>
      <c r="U66">
        <f t="shared" si="4"/>
        <v>108.87955388635737</v>
      </c>
      <c r="W66">
        <v>57</v>
      </c>
      <c r="X66">
        <f t="shared" si="5"/>
        <v>116.00607843022296</v>
      </c>
      <c r="Z66">
        <v>57</v>
      </c>
      <c r="AA66">
        <f t="shared" si="6"/>
        <v>94.287553886357372</v>
      </c>
    </row>
    <row r="67" spans="1:27" x14ac:dyDescent="0.25">
      <c r="A67">
        <v>0.8799608406713616</v>
      </c>
      <c r="B67">
        <v>58</v>
      </c>
      <c r="C67">
        <f t="shared" si="0"/>
        <v>117.62186586334525</v>
      </c>
      <c r="E67">
        <v>58</v>
      </c>
      <c r="F67">
        <f t="shared" si="1"/>
        <v>131.57666586334523</v>
      </c>
      <c r="H67">
        <v>58</v>
      </c>
      <c r="I67">
        <f t="shared" si="7"/>
        <v>177.11852966915447</v>
      </c>
      <c r="K67">
        <v>58</v>
      </c>
      <c r="L67">
        <f t="shared" si="2"/>
        <v>126.62186586334525</v>
      </c>
      <c r="N67">
        <v>58</v>
      </c>
      <c r="O67">
        <f t="shared" si="3"/>
        <v>112.40650955550348</v>
      </c>
      <c r="Q67">
        <v>58</v>
      </c>
      <c r="R67">
        <f t="shared" si="8"/>
        <v>242.8826537065778</v>
      </c>
      <c r="T67">
        <v>58</v>
      </c>
      <c r="U67">
        <f t="shared" si="4"/>
        <v>132.93386586334526</v>
      </c>
      <c r="W67">
        <v>58</v>
      </c>
      <c r="X67">
        <f t="shared" si="5"/>
        <v>138.07878497610372</v>
      </c>
      <c r="Z67">
        <v>58</v>
      </c>
      <c r="AA67">
        <f t="shared" si="6"/>
        <v>117.62186586334525</v>
      </c>
    </row>
    <row r="68" spans="1:27" x14ac:dyDescent="0.25">
      <c r="A68">
        <v>0.20216015991738401</v>
      </c>
      <c r="B68">
        <v>59</v>
      </c>
      <c r="C68">
        <f t="shared" si="0"/>
        <v>87.491047048219286</v>
      </c>
      <c r="E68">
        <v>59</v>
      </c>
      <c r="F68">
        <f t="shared" si="1"/>
        <v>102.24989704821928</v>
      </c>
      <c r="H68">
        <v>59</v>
      </c>
      <c r="I68">
        <f t="shared" si="7"/>
        <v>150.20975719270282</v>
      </c>
      <c r="K68">
        <v>59</v>
      </c>
      <c r="L68">
        <f t="shared" si="2"/>
        <v>96.991047048219286</v>
      </c>
      <c r="N68">
        <v>59</v>
      </c>
      <c r="O68">
        <f t="shared" si="3"/>
        <v>82.517395892363623</v>
      </c>
      <c r="Q68">
        <v>59</v>
      </c>
      <c r="R68">
        <f t="shared" si="8"/>
        <v>213.52329401090088</v>
      </c>
      <c r="T68">
        <v>59</v>
      </c>
      <c r="U68">
        <f t="shared" si="4"/>
        <v>103.53904704821929</v>
      </c>
      <c r="W68">
        <v>59</v>
      </c>
      <c r="X68">
        <f t="shared" si="5"/>
        <v>106.50478366760196</v>
      </c>
      <c r="Z68">
        <v>59</v>
      </c>
      <c r="AA68">
        <f t="shared" si="6"/>
        <v>87.491047048219286</v>
      </c>
    </row>
    <row r="69" spans="1:27" x14ac:dyDescent="0.25">
      <c r="A69">
        <v>0.16844443820808397</v>
      </c>
      <c r="B69">
        <v>60</v>
      </c>
      <c r="C69">
        <f t="shared" si="0"/>
        <v>85.595041665344255</v>
      </c>
      <c r="E69">
        <v>60</v>
      </c>
      <c r="F69">
        <f t="shared" si="1"/>
        <v>101.19504166534425</v>
      </c>
      <c r="H69">
        <v>60</v>
      </c>
      <c r="I69">
        <f t="shared" si="7"/>
        <v>151.6008878021716</v>
      </c>
      <c r="K69">
        <v>60</v>
      </c>
      <c r="L69">
        <f t="shared" si="2"/>
        <v>95.595041665344255</v>
      </c>
      <c r="N69">
        <v>60</v>
      </c>
      <c r="O69">
        <f t="shared" si="3"/>
        <v>80.852454347587582</v>
      </c>
      <c r="Q69">
        <v>60</v>
      </c>
      <c r="R69">
        <f t="shared" si="8"/>
        <v>212.38835719194969</v>
      </c>
      <c r="T69">
        <v>60</v>
      </c>
      <c r="U69">
        <f t="shared" si="4"/>
        <v>102.39504166534425</v>
      </c>
      <c r="W69">
        <v>60</v>
      </c>
      <c r="X69">
        <f t="shared" si="5"/>
        <v>102.99682851906202</v>
      </c>
      <c r="Z69">
        <v>60</v>
      </c>
      <c r="AA69">
        <f t="shared" si="6"/>
        <v>85.595041665344255</v>
      </c>
    </row>
    <row r="70" spans="1:27" x14ac:dyDescent="0.25">
      <c r="A70">
        <v>0.51444334637578626</v>
      </c>
      <c r="B70">
        <v>61</v>
      </c>
      <c r="C70">
        <f t="shared" si="0"/>
        <v>100.54318019566774</v>
      </c>
      <c r="E70">
        <v>61</v>
      </c>
      <c r="F70">
        <f t="shared" si="1"/>
        <v>117.02233019566775</v>
      </c>
      <c r="H70">
        <v>61</v>
      </c>
      <c r="I70">
        <f t="shared" si="7"/>
        <v>169.90256687673448</v>
      </c>
      <c r="K70">
        <v>61</v>
      </c>
      <c r="L70">
        <f t="shared" si="2"/>
        <v>111.04318019566774</v>
      </c>
      <c r="N70">
        <v>61</v>
      </c>
      <c r="O70">
        <f t="shared" si="3"/>
        <v>96.021432847338986</v>
      </c>
      <c r="Q70">
        <v>61</v>
      </c>
      <c r="R70">
        <f t="shared" si="8"/>
        <v>228.08748340712083</v>
      </c>
      <c r="T70">
        <v>61</v>
      </c>
      <c r="U70">
        <f t="shared" si="4"/>
        <v>118.11118019566774</v>
      </c>
      <c r="W70">
        <v>61</v>
      </c>
      <c r="X70">
        <f t="shared" si="5"/>
        <v>116.17855779166771</v>
      </c>
      <c r="Z70">
        <v>61</v>
      </c>
      <c r="AA70">
        <f>_xlfn.NORM.INV($A70,$AA$6,$C$3)</f>
        <v>150.54318019566776</v>
      </c>
    </row>
    <row r="71" spans="1:27" x14ac:dyDescent="0.25">
      <c r="A71">
        <v>0.17106378994282845</v>
      </c>
      <c r="B71">
        <v>62</v>
      </c>
      <c r="C71">
        <f t="shared" si="0"/>
        <v>85.750452465146282</v>
      </c>
      <c r="E71">
        <v>62</v>
      </c>
      <c r="F71">
        <f t="shared" si="1"/>
        <v>103.14765246514629</v>
      </c>
      <c r="H71">
        <v>62</v>
      </c>
      <c r="I71">
        <f t="shared" si="7"/>
        <v>158.53112570328005</v>
      </c>
      <c r="K71">
        <v>62</v>
      </c>
      <c r="L71">
        <f t="shared" si="2"/>
        <v>96.750452465146282</v>
      </c>
      <c r="N71">
        <v>62</v>
      </c>
      <c r="O71">
        <f t="shared" si="3"/>
        <v>81.439726971037672</v>
      </c>
      <c r="Q71">
        <v>62</v>
      </c>
      <c r="R71">
        <f t="shared" si="8"/>
        <v>214.03595803530919</v>
      </c>
      <c r="T71">
        <v>62</v>
      </c>
      <c r="U71">
        <f t="shared" si="4"/>
        <v>104.10245246514627</v>
      </c>
      <c r="W71">
        <v>62</v>
      </c>
      <c r="X71">
        <f t="shared" si="5"/>
        <v>99.480640084997958</v>
      </c>
      <c r="Z71">
        <v>62</v>
      </c>
      <c r="AA71">
        <f t="shared" ref="AA71:AA109" si="9">_xlfn.NORM.INV($A71,$AA$6,$C$3)</f>
        <v>135.75045246514628</v>
      </c>
    </row>
    <row r="72" spans="1:27" x14ac:dyDescent="0.25">
      <c r="A72">
        <v>0.40285210441989583</v>
      </c>
      <c r="B72">
        <v>63</v>
      </c>
      <c r="C72">
        <f t="shared" si="0"/>
        <v>96.310425839450289</v>
      </c>
      <c r="E72">
        <v>63</v>
      </c>
      <c r="F72">
        <f t="shared" si="1"/>
        <v>114.66547583945029</v>
      </c>
      <c r="H72">
        <v>63</v>
      </c>
      <c r="I72">
        <f t="shared" si="7"/>
        <v>172.58150020771942</v>
      </c>
      <c r="K72">
        <v>63</v>
      </c>
      <c r="L72">
        <f t="shared" si="2"/>
        <v>107.81042583945029</v>
      </c>
      <c r="N72">
        <v>63</v>
      </c>
      <c r="O72">
        <f t="shared" si="3"/>
        <v>92.201298019403794</v>
      </c>
      <c r="Q72">
        <v>63</v>
      </c>
      <c r="R72">
        <f t="shared" si="8"/>
        <v>225.32763073180854</v>
      </c>
      <c r="T72">
        <v>63</v>
      </c>
      <c r="U72">
        <f t="shared" si="4"/>
        <v>115.4624258394503</v>
      </c>
      <c r="W72">
        <v>63</v>
      </c>
      <c r="X72">
        <f t="shared" si="5"/>
        <v>108.01355336582711</v>
      </c>
      <c r="Z72">
        <v>63</v>
      </c>
      <c r="AA72">
        <f t="shared" si="9"/>
        <v>146.31042583945029</v>
      </c>
    </row>
    <row r="73" spans="1:27" x14ac:dyDescent="0.25">
      <c r="A73">
        <v>0.47453195403022241</v>
      </c>
      <c r="B73">
        <v>64</v>
      </c>
      <c r="C73">
        <f t="shared" si="0"/>
        <v>99.041764784498824</v>
      </c>
      <c r="E73">
        <v>64</v>
      </c>
      <c r="F73">
        <f t="shared" si="1"/>
        <v>118.39536478449882</v>
      </c>
      <c r="H73">
        <v>64</v>
      </c>
      <c r="I73">
        <f t="shared" si="7"/>
        <v>178.87375106296292</v>
      </c>
      <c r="K73">
        <v>64</v>
      </c>
      <c r="L73">
        <f t="shared" si="2"/>
        <v>111.04176478449882</v>
      </c>
      <c r="N73">
        <v>64</v>
      </c>
      <c r="O73">
        <f t="shared" si="3"/>
        <v>95.125192504822394</v>
      </c>
      <c r="Q73">
        <v>64</v>
      </c>
      <c r="R73">
        <f t="shared" si="8"/>
        <v>228.78143578390586</v>
      </c>
      <c r="T73">
        <v>64</v>
      </c>
      <c r="U73">
        <f t="shared" si="4"/>
        <v>119.00976478449883</v>
      </c>
      <c r="W73">
        <v>64</v>
      </c>
      <c r="X73">
        <f t="shared" si="5"/>
        <v>108.61395442896738</v>
      </c>
      <c r="Z73">
        <v>64</v>
      </c>
      <c r="AA73">
        <f t="shared" si="9"/>
        <v>149.04176478449884</v>
      </c>
    </row>
    <row r="74" spans="1:27" x14ac:dyDescent="0.25">
      <c r="A74">
        <v>0.98932143312312515</v>
      </c>
      <c r="B74">
        <v>65</v>
      </c>
      <c r="C74">
        <f t="shared" si="0"/>
        <v>134.5241611454754</v>
      </c>
      <c r="E74">
        <v>65</v>
      </c>
      <c r="F74">
        <f t="shared" si="1"/>
        <v>154.91791114547539</v>
      </c>
      <c r="H74">
        <v>65</v>
      </c>
      <c r="I74">
        <f t="shared" si="7"/>
        <v>217.98899452643764</v>
      </c>
      <c r="K74">
        <v>65</v>
      </c>
      <c r="L74">
        <f t="shared" si="2"/>
        <v>147.0241611454754</v>
      </c>
      <c r="N74">
        <v>65</v>
      </c>
      <c r="O74">
        <f t="shared" si="3"/>
        <v>130.79147241106247</v>
      </c>
      <c r="Q74">
        <v>65</v>
      </c>
      <c r="R74">
        <f t="shared" si="8"/>
        <v>264.97732312568945</v>
      </c>
      <c r="T74">
        <v>65</v>
      </c>
      <c r="U74">
        <f t="shared" si="4"/>
        <v>155.32416114547541</v>
      </c>
      <c r="W74">
        <v>65</v>
      </c>
      <c r="X74">
        <f t="shared" si="5"/>
        <v>141.88044947509934</v>
      </c>
      <c r="Z74">
        <v>65</v>
      </c>
      <c r="AA74">
        <f t="shared" si="9"/>
        <v>184.5241611454754</v>
      </c>
    </row>
    <row r="75" spans="1:27" x14ac:dyDescent="0.25">
      <c r="A75">
        <v>0.88430980632073397</v>
      </c>
      <c r="B75">
        <v>66</v>
      </c>
      <c r="C75">
        <f t="shared" ref="C75:C109" si="10">_xlfn.NORM.INV(A75,$C$2,$C$3)</f>
        <v>117.95215893803189</v>
      </c>
      <c r="E75">
        <v>66</v>
      </c>
      <c r="F75">
        <f t="shared" ref="F75:F109" si="11">_xlfn.NORM.INV($A75,$F$5+$F$6*E75+$F$7*E75*E75+$F$8*E75*E75*E75,$C$3)</f>
        <v>139.4285589380319</v>
      </c>
      <c r="H75">
        <v>66</v>
      </c>
      <c r="I75">
        <f t="shared" ref="I75:I109" si="12">_xlfn.NORM.INV($A75,$I$5*EXP($I$6*H75),$C$3)</f>
        <v>205.12322780107502</v>
      </c>
      <c r="K75">
        <v>66</v>
      </c>
      <c r="L75">
        <f t="shared" ref="L75:L109" si="13">_xlfn.NORM.INV($A75,$L$5+$L$6*K75,$C$3)</f>
        <v>130.95215893803189</v>
      </c>
      <c r="N75">
        <v>66</v>
      </c>
      <c r="O75">
        <f t="shared" ref="O75:O109" si="14">_xlfn.NORM.INV($A75,$O$5/(1+EXP(-$O$6*N75)),$C$3)</f>
        <v>114.39504001076827</v>
      </c>
      <c r="Q75">
        <v>66</v>
      </c>
      <c r="R75">
        <f t="shared" ref="R75:R109" si="15">_xlfn.NORM.INV($A75,$R$5*Q75^$R$6,$C$3)</f>
        <v>249.1100838110348</v>
      </c>
      <c r="T75">
        <v>66</v>
      </c>
      <c r="U75">
        <f t="shared" ref="U75:U109" si="16">_xlfn.NORM.INV($A75,$U$5+$U$6*T75+$U$7*T75*T75,$C$3)</f>
        <v>139.60015893803188</v>
      </c>
      <c r="W75">
        <v>66</v>
      </c>
      <c r="X75">
        <f t="shared" ref="X75:X109" si="17">_xlfn.NORM.INV($A75,$X$5+$X$6*SIN(2*PI()*$X$7*W75+$X$8),$C$3)</f>
        <v>123.0272510168175</v>
      </c>
      <c r="Z75">
        <v>66</v>
      </c>
      <c r="AA75">
        <f t="shared" si="9"/>
        <v>167.95215893803189</v>
      </c>
    </row>
    <row r="76" spans="1:27" x14ac:dyDescent="0.25">
      <c r="A76">
        <v>0.85373754166199234</v>
      </c>
      <c r="B76">
        <v>67</v>
      </c>
      <c r="C76">
        <f t="shared" si="10"/>
        <v>115.78898169638673</v>
      </c>
      <c r="E76">
        <v>67</v>
      </c>
      <c r="F76">
        <f t="shared" si="11"/>
        <v>138.39143169638675</v>
      </c>
      <c r="H76">
        <v>67</v>
      </c>
      <c r="I76">
        <f t="shared" si="12"/>
        <v>206.74115696470352</v>
      </c>
      <c r="K76">
        <v>67</v>
      </c>
      <c r="L76">
        <f t="shared" si="13"/>
        <v>129.28898169638671</v>
      </c>
      <c r="N76">
        <v>67</v>
      </c>
      <c r="O76">
        <f t="shared" si="14"/>
        <v>112.39946528046892</v>
      </c>
      <c r="Q76">
        <v>67</v>
      </c>
      <c r="R76">
        <f t="shared" si="15"/>
        <v>247.64317799419177</v>
      </c>
      <c r="T76">
        <v>67</v>
      </c>
      <c r="U76">
        <f t="shared" si="16"/>
        <v>138.30098169638671</v>
      </c>
      <c r="W76">
        <v>67</v>
      </c>
      <c r="X76">
        <f t="shared" si="17"/>
        <v>118.5378306477575</v>
      </c>
      <c r="Z76">
        <v>67</v>
      </c>
      <c r="AA76">
        <f t="shared" si="9"/>
        <v>165.78898169638671</v>
      </c>
    </row>
    <row r="77" spans="1:27" x14ac:dyDescent="0.25">
      <c r="A77">
        <v>0.35203856350447849</v>
      </c>
      <c r="B77">
        <v>68</v>
      </c>
      <c r="C77">
        <f t="shared" si="10"/>
        <v>94.302661444992069</v>
      </c>
      <c r="E77">
        <v>68</v>
      </c>
      <c r="F77">
        <f t="shared" si="11"/>
        <v>118.07546144499206</v>
      </c>
      <c r="H77">
        <v>68</v>
      </c>
      <c r="I77">
        <f t="shared" si="12"/>
        <v>189.11232653475284</v>
      </c>
      <c r="K77">
        <v>68</v>
      </c>
      <c r="L77">
        <f t="shared" si="13"/>
        <v>108.30266144499207</v>
      </c>
      <c r="N77">
        <v>68</v>
      </c>
      <c r="O77">
        <f t="shared" si="14"/>
        <v>91.073114975147021</v>
      </c>
      <c r="Q77">
        <v>68</v>
      </c>
      <c r="R77">
        <f t="shared" si="15"/>
        <v>226.84486448889177</v>
      </c>
      <c r="T77">
        <v>68</v>
      </c>
      <c r="U77">
        <f t="shared" si="16"/>
        <v>117.69466144499208</v>
      </c>
      <c r="W77">
        <v>68</v>
      </c>
      <c r="X77">
        <f t="shared" si="17"/>
        <v>94.700868291054078</v>
      </c>
      <c r="Z77">
        <v>68</v>
      </c>
      <c r="AA77">
        <f t="shared" si="9"/>
        <v>144.30266144499208</v>
      </c>
    </row>
    <row r="78" spans="1:27" x14ac:dyDescent="0.25">
      <c r="A78">
        <v>0.79512891072396052</v>
      </c>
      <c r="B78">
        <v>69</v>
      </c>
      <c r="C78">
        <f t="shared" si="10"/>
        <v>112.36521138284519</v>
      </c>
      <c r="E78">
        <v>69</v>
      </c>
      <c r="F78">
        <f t="shared" si="11"/>
        <v>137.35356138284519</v>
      </c>
      <c r="H78">
        <v>69</v>
      </c>
      <c r="I78">
        <f t="shared" si="12"/>
        <v>211.11029275758261</v>
      </c>
      <c r="K78">
        <v>69</v>
      </c>
      <c r="L78">
        <f t="shared" si="13"/>
        <v>126.86521138284519</v>
      </c>
      <c r="N78">
        <v>69</v>
      </c>
      <c r="O78">
        <f t="shared" si="14"/>
        <v>109.28832544713039</v>
      </c>
      <c r="Q78">
        <v>69</v>
      </c>
      <c r="R78">
        <f t="shared" si="15"/>
        <v>245.5873739988694</v>
      </c>
      <c r="T78">
        <v>69</v>
      </c>
      <c r="U78">
        <f t="shared" si="16"/>
        <v>136.6532113828452</v>
      </c>
      <c r="W78">
        <v>69</v>
      </c>
      <c r="X78">
        <f t="shared" si="17"/>
        <v>110.40924161144216</v>
      </c>
      <c r="Z78">
        <v>69</v>
      </c>
      <c r="AA78">
        <f t="shared" si="9"/>
        <v>162.36521138284519</v>
      </c>
    </row>
    <row r="79" spans="1:27" x14ac:dyDescent="0.25">
      <c r="A79">
        <v>0.94660460650646372</v>
      </c>
      <c r="B79">
        <v>70</v>
      </c>
      <c r="C79">
        <f t="shared" si="10"/>
        <v>124.19180530511184</v>
      </c>
      <c r="E79">
        <v>70</v>
      </c>
      <c r="F79">
        <f t="shared" si="11"/>
        <v>150.44180530511184</v>
      </c>
      <c r="H79">
        <v>70</v>
      </c>
      <c r="I79">
        <f t="shared" si="12"/>
        <v>226.9518036473456</v>
      </c>
      <c r="K79">
        <v>70</v>
      </c>
      <c r="L79">
        <f t="shared" si="13"/>
        <v>139.19180530511184</v>
      </c>
      <c r="N79">
        <v>70</v>
      </c>
      <c r="O79">
        <f t="shared" si="14"/>
        <v>121.26058222997622</v>
      </c>
      <c r="Q79">
        <v>70</v>
      </c>
      <c r="R79">
        <f t="shared" si="15"/>
        <v>258.0860890479139</v>
      </c>
      <c r="T79">
        <v>70</v>
      </c>
      <c r="U79">
        <f t="shared" si="16"/>
        <v>149.39180530511186</v>
      </c>
      <c r="W79">
        <v>70</v>
      </c>
      <c r="X79">
        <f t="shared" si="17"/>
        <v>119.89902024240538</v>
      </c>
      <c r="Z79">
        <v>70</v>
      </c>
      <c r="AA79">
        <f t="shared" si="9"/>
        <v>174.19180530511184</v>
      </c>
    </row>
    <row r="80" spans="1:27" x14ac:dyDescent="0.25">
      <c r="A80">
        <v>0.65436568931283512</v>
      </c>
      <c r="B80">
        <v>71</v>
      </c>
      <c r="C80">
        <f t="shared" si="10"/>
        <v>105.95701055740402</v>
      </c>
      <c r="E80">
        <v>71</v>
      </c>
      <c r="F80">
        <f t="shared" si="11"/>
        <v>133.51566055740403</v>
      </c>
      <c r="H80">
        <v>71</v>
      </c>
      <c r="I80">
        <f t="shared" si="12"/>
        <v>212.81303256997364</v>
      </c>
      <c r="K80">
        <v>71</v>
      </c>
      <c r="L80">
        <f t="shared" si="13"/>
        <v>121.45701055740402</v>
      </c>
      <c r="N80">
        <v>71</v>
      </c>
      <c r="O80">
        <f t="shared" si="14"/>
        <v>103.16475317899673</v>
      </c>
      <c r="Q80">
        <v>71</v>
      </c>
      <c r="R80">
        <f t="shared" si="15"/>
        <v>240.51577740790432</v>
      </c>
      <c r="T80">
        <v>71</v>
      </c>
      <c r="U80">
        <f t="shared" si="16"/>
        <v>132.08501055740402</v>
      </c>
      <c r="W80">
        <v>71</v>
      </c>
      <c r="X80">
        <f t="shared" si="17"/>
        <v>99.36551326751345</v>
      </c>
      <c r="Z80">
        <v>71</v>
      </c>
      <c r="AA80">
        <f t="shared" si="9"/>
        <v>155.95701055740403</v>
      </c>
    </row>
    <row r="81" spans="1:27" x14ac:dyDescent="0.25">
      <c r="A81">
        <v>0.84179803979974366</v>
      </c>
      <c r="B81">
        <v>72</v>
      </c>
      <c r="C81">
        <f t="shared" si="10"/>
        <v>115.02812648819587</v>
      </c>
      <c r="E81">
        <v>72</v>
      </c>
      <c r="F81">
        <f t="shared" si="11"/>
        <v>143.94332648819585</v>
      </c>
      <c r="H81">
        <v>72</v>
      </c>
      <c r="I81">
        <f t="shared" si="12"/>
        <v>226.06291733802345</v>
      </c>
      <c r="K81">
        <v>72</v>
      </c>
      <c r="L81">
        <f t="shared" si="13"/>
        <v>131.02812648819585</v>
      </c>
      <c r="N81">
        <v>72</v>
      </c>
      <c r="O81">
        <f t="shared" si="14"/>
        <v>112.36842713050928</v>
      </c>
      <c r="Q81">
        <v>72</v>
      </c>
      <c r="R81">
        <f t="shared" si="15"/>
        <v>250.24393099313056</v>
      </c>
      <c r="T81">
        <v>72</v>
      </c>
      <c r="U81">
        <f t="shared" si="16"/>
        <v>142.10012648819585</v>
      </c>
      <c r="W81">
        <v>72</v>
      </c>
      <c r="X81">
        <f t="shared" si="17"/>
        <v>106.19642356770363</v>
      </c>
      <c r="Z81">
        <v>72</v>
      </c>
      <c r="AA81">
        <f t="shared" si="9"/>
        <v>165.02812648819585</v>
      </c>
    </row>
    <row r="82" spans="1:27" x14ac:dyDescent="0.25">
      <c r="A82">
        <v>0.23475766998480474</v>
      </c>
      <c r="B82">
        <v>73</v>
      </c>
      <c r="C82">
        <f t="shared" si="10"/>
        <v>89.150982229927621</v>
      </c>
      <c r="E82">
        <v>73</v>
      </c>
      <c r="F82">
        <f t="shared" si="11"/>
        <v>119.47153222992762</v>
      </c>
      <c r="H82">
        <v>73</v>
      </c>
      <c r="I82">
        <f t="shared" si="12"/>
        <v>204.44895864718794</v>
      </c>
      <c r="K82">
        <v>73</v>
      </c>
      <c r="L82">
        <f t="shared" si="13"/>
        <v>105.65098222992762</v>
      </c>
      <c r="N82">
        <v>73</v>
      </c>
      <c r="O82">
        <f t="shared" si="14"/>
        <v>86.617711907240448</v>
      </c>
      <c r="Q82">
        <v>73</v>
      </c>
      <c r="R82">
        <f t="shared" si="15"/>
        <v>225.01656405400115</v>
      </c>
      <c r="T82">
        <v>73</v>
      </c>
      <c r="U82">
        <f t="shared" si="16"/>
        <v>117.18298222992763</v>
      </c>
      <c r="W82">
        <v>73</v>
      </c>
      <c r="X82">
        <f t="shared" si="17"/>
        <v>78.157464499186247</v>
      </c>
      <c r="Z82">
        <v>73</v>
      </c>
      <c r="AA82">
        <f t="shared" si="9"/>
        <v>139.15098222992762</v>
      </c>
    </row>
    <row r="83" spans="1:27" x14ac:dyDescent="0.25">
      <c r="A83">
        <v>0.87173035962453582</v>
      </c>
      <c r="B83">
        <v>74</v>
      </c>
      <c r="C83">
        <f t="shared" si="10"/>
        <v>117.01913141390168</v>
      </c>
      <c r="E83">
        <v>74</v>
      </c>
      <c r="F83">
        <f t="shared" si="11"/>
        <v>148.79473141390167</v>
      </c>
      <c r="H83">
        <v>74</v>
      </c>
      <c r="I83">
        <f t="shared" si="12"/>
        <v>236.66641545983953</v>
      </c>
      <c r="K83">
        <v>74</v>
      </c>
      <c r="L83">
        <f t="shared" si="13"/>
        <v>134.01913141390168</v>
      </c>
      <c r="N83">
        <v>74</v>
      </c>
      <c r="O83">
        <f t="shared" si="14"/>
        <v>114.60642927213476</v>
      </c>
      <c r="Q83">
        <v>74</v>
      </c>
      <c r="R83">
        <f t="shared" si="15"/>
        <v>253.52740827755807</v>
      </c>
      <c r="T83">
        <v>74</v>
      </c>
      <c r="U83">
        <f t="shared" si="16"/>
        <v>146.02713141390169</v>
      </c>
      <c r="W83">
        <v>74</v>
      </c>
      <c r="X83">
        <f t="shared" si="17"/>
        <v>103.96137811456248</v>
      </c>
      <c r="Z83">
        <v>74</v>
      </c>
      <c r="AA83">
        <f t="shared" si="9"/>
        <v>167.01913141390168</v>
      </c>
    </row>
    <row r="84" spans="1:27" x14ac:dyDescent="0.25">
      <c r="A84">
        <v>0.19811090537683329</v>
      </c>
      <c r="B84">
        <v>75</v>
      </c>
      <c r="C84">
        <f t="shared" si="10"/>
        <v>87.274176964626761</v>
      </c>
      <c r="E84">
        <v>75</v>
      </c>
      <c r="F84">
        <f t="shared" si="11"/>
        <v>120.55542696462676</v>
      </c>
      <c r="H84">
        <v>75</v>
      </c>
      <c r="I84">
        <f t="shared" si="12"/>
        <v>211.35863048152999</v>
      </c>
      <c r="K84">
        <v>75</v>
      </c>
      <c r="L84">
        <f t="shared" si="13"/>
        <v>104.77417696462676</v>
      </c>
      <c r="N84">
        <v>75</v>
      </c>
      <c r="O84">
        <f t="shared" si="14"/>
        <v>84.976439973624196</v>
      </c>
      <c r="Q84">
        <v>75</v>
      </c>
      <c r="R84">
        <f t="shared" si="15"/>
        <v>224.41823794255794</v>
      </c>
      <c r="T84">
        <v>75</v>
      </c>
      <c r="U84">
        <f t="shared" si="16"/>
        <v>117.27417696462676</v>
      </c>
      <c r="W84">
        <v>75</v>
      </c>
      <c r="X84">
        <f t="shared" si="17"/>
        <v>72.268089639383177</v>
      </c>
      <c r="Z84">
        <v>75</v>
      </c>
      <c r="AA84">
        <f t="shared" si="9"/>
        <v>137.27417696462675</v>
      </c>
    </row>
    <row r="85" spans="1:27" x14ac:dyDescent="0.25">
      <c r="A85">
        <v>0.40016367907341799</v>
      </c>
      <c r="B85">
        <v>76</v>
      </c>
      <c r="C85">
        <f t="shared" si="10"/>
        <v>96.20614805855007</v>
      </c>
      <c r="E85">
        <v>76</v>
      </c>
      <c r="F85">
        <f t="shared" si="11"/>
        <v>131.04454805855008</v>
      </c>
      <c r="H85">
        <v>76</v>
      </c>
      <c r="I85">
        <f t="shared" si="12"/>
        <v>224.81740781565802</v>
      </c>
      <c r="K85">
        <v>76</v>
      </c>
      <c r="L85">
        <f t="shared" si="13"/>
        <v>114.20614805855007</v>
      </c>
      <c r="N85">
        <v>76</v>
      </c>
      <c r="O85">
        <f t="shared" si="14"/>
        <v>94.018020964937023</v>
      </c>
      <c r="Q85">
        <v>76</v>
      </c>
      <c r="R85">
        <f t="shared" si="15"/>
        <v>233.97924721597497</v>
      </c>
      <c r="T85">
        <v>76</v>
      </c>
      <c r="U85">
        <f t="shared" si="16"/>
        <v>127.21414805855005</v>
      </c>
      <c r="W85">
        <v>76</v>
      </c>
      <c r="X85">
        <f t="shared" si="17"/>
        <v>79.384921800839578</v>
      </c>
      <c r="Z85">
        <v>76</v>
      </c>
      <c r="AA85">
        <f t="shared" si="9"/>
        <v>146.20614805855007</v>
      </c>
    </row>
    <row r="86" spans="1:27" x14ac:dyDescent="0.25">
      <c r="A86">
        <v>7.6085574945873202E-2</v>
      </c>
      <c r="B86">
        <v>77</v>
      </c>
      <c r="C86">
        <f t="shared" si="10"/>
        <v>78.521432273080308</v>
      </c>
      <c r="E86">
        <v>77</v>
      </c>
      <c r="F86">
        <f t="shared" si="11"/>
        <v>114.9693822730803</v>
      </c>
      <c r="H86">
        <v>77</v>
      </c>
      <c r="I86">
        <f t="shared" si="12"/>
        <v>211.75094582248659</v>
      </c>
      <c r="K86">
        <v>77</v>
      </c>
      <c r="L86">
        <f t="shared" si="13"/>
        <v>97.021432273080308</v>
      </c>
      <c r="N86">
        <v>77</v>
      </c>
      <c r="O86">
        <f t="shared" si="14"/>
        <v>76.437797821212257</v>
      </c>
      <c r="Q86">
        <v>77</v>
      </c>
      <c r="R86">
        <f t="shared" si="15"/>
        <v>216.9169826185703</v>
      </c>
      <c r="T86">
        <v>77</v>
      </c>
      <c r="U86">
        <f t="shared" si="16"/>
        <v>110.55343227308029</v>
      </c>
      <c r="W86">
        <v>77</v>
      </c>
      <c r="X86">
        <f t="shared" si="17"/>
        <v>60.034373478005477</v>
      </c>
      <c r="Z86">
        <v>77</v>
      </c>
      <c r="AA86">
        <f t="shared" si="9"/>
        <v>128.52143227308031</v>
      </c>
    </row>
    <row r="87" spans="1:27" x14ac:dyDescent="0.25">
      <c r="A87">
        <v>0.54571723561014029</v>
      </c>
      <c r="B87">
        <v>78</v>
      </c>
      <c r="C87">
        <f t="shared" si="10"/>
        <v>101.72272139020811</v>
      </c>
      <c r="E87">
        <v>78</v>
      </c>
      <c r="F87">
        <f t="shared" si="11"/>
        <v>139.83352139020809</v>
      </c>
      <c r="H87">
        <v>78</v>
      </c>
      <c r="I87">
        <f t="shared" si="12"/>
        <v>239.66378364710081</v>
      </c>
      <c r="K87">
        <v>78</v>
      </c>
      <c r="L87">
        <f t="shared" si="13"/>
        <v>120.72272139020811</v>
      </c>
      <c r="N87">
        <v>78</v>
      </c>
      <c r="O87">
        <f t="shared" si="14"/>
        <v>99.738690816800357</v>
      </c>
      <c r="Q87">
        <v>78</v>
      </c>
      <c r="R87">
        <f t="shared" si="15"/>
        <v>240.73428912542681</v>
      </c>
      <c r="T87">
        <v>78</v>
      </c>
      <c r="U87">
        <f t="shared" si="16"/>
        <v>134.79472139020811</v>
      </c>
      <c r="W87">
        <v>78</v>
      </c>
      <c r="X87">
        <f t="shared" si="17"/>
        <v>81.733922500403935</v>
      </c>
      <c r="Z87">
        <v>78</v>
      </c>
      <c r="AA87">
        <f t="shared" si="9"/>
        <v>151.72272139020811</v>
      </c>
    </row>
    <row r="88" spans="1:27" x14ac:dyDescent="0.25">
      <c r="A88">
        <v>0.35352994550231598</v>
      </c>
      <c r="B88">
        <v>79</v>
      </c>
      <c r="C88">
        <f t="shared" si="10"/>
        <v>94.362885065737402</v>
      </c>
      <c r="E88">
        <v>79</v>
      </c>
      <c r="F88">
        <f t="shared" si="11"/>
        <v>134.19073506573741</v>
      </c>
      <c r="H88">
        <v>79</v>
      </c>
      <c r="I88">
        <f t="shared" si="12"/>
        <v>237.11067562760911</v>
      </c>
      <c r="K88">
        <v>79</v>
      </c>
      <c r="L88">
        <f t="shared" si="13"/>
        <v>113.8628850657374</v>
      </c>
      <c r="N88">
        <v>79</v>
      </c>
      <c r="O88">
        <f t="shared" si="14"/>
        <v>92.473788872033481</v>
      </c>
      <c r="Q88">
        <v>79</v>
      </c>
      <c r="R88">
        <f t="shared" si="15"/>
        <v>233.98418411391438</v>
      </c>
      <c r="T88">
        <v>79</v>
      </c>
      <c r="U88">
        <f t="shared" si="16"/>
        <v>128.49088506573739</v>
      </c>
      <c r="W88">
        <v>79</v>
      </c>
      <c r="X88">
        <f t="shared" si="17"/>
        <v>73.049768075233615</v>
      </c>
      <c r="Z88">
        <v>79</v>
      </c>
      <c r="AA88">
        <f t="shared" si="9"/>
        <v>144.3628850657374</v>
      </c>
    </row>
    <row r="89" spans="1:27" x14ac:dyDescent="0.25">
      <c r="A89">
        <v>0.84236431038515314</v>
      </c>
      <c r="B89">
        <v>80</v>
      </c>
      <c r="C89">
        <f t="shared" si="10"/>
        <v>115.0633375021911</v>
      </c>
      <c r="E89">
        <v>80</v>
      </c>
      <c r="F89">
        <f t="shared" si="11"/>
        <v>156.66333750219107</v>
      </c>
      <c r="H89">
        <v>80</v>
      </c>
      <c r="I89">
        <f t="shared" si="12"/>
        <v>262.71495872194686</v>
      </c>
      <c r="K89">
        <v>80</v>
      </c>
      <c r="L89">
        <f t="shared" si="13"/>
        <v>135.0633375021911</v>
      </c>
      <c r="N89">
        <v>80</v>
      </c>
      <c r="O89">
        <f t="shared" si="14"/>
        <v>113.26471650598194</v>
      </c>
      <c r="Q89">
        <v>80</v>
      </c>
      <c r="R89">
        <f t="shared" si="15"/>
        <v>255.28822429847733</v>
      </c>
      <c r="T89">
        <v>80</v>
      </c>
      <c r="U89">
        <f t="shared" si="16"/>
        <v>150.26333750219109</v>
      </c>
      <c r="W89">
        <v>80</v>
      </c>
      <c r="X89">
        <f t="shared" si="17"/>
        <v>92.615079146232787</v>
      </c>
      <c r="Z89">
        <v>80</v>
      </c>
      <c r="AA89">
        <f t="shared" si="9"/>
        <v>165.0633375021911</v>
      </c>
    </row>
    <row r="90" spans="1:27" x14ac:dyDescent="0.25">
      <c r="A90">
        <v>0.6213156809720537</v>
      </c>
      <c r="B90">
        <v>81</v>
      </c>
      <c r="C90">
        <f t="shared" si="10"/>
        <v>104.63407102299107</v>
      </c>
      <c r="E90">
        <v>81</v>
      </c>
      <c r="F90">
        <f t="shared" si="11"/>
        <v>148.06222102299108</v>
      </c>
      <c r="H90">
        <v>81</v>
      </c>
      <c r="I90">
        <f t="shared" si="12"/>
        <v>257.28858685118445</v>
      </c>
      <c r="K90">
        <v>81</v>
      </c>
      <c r="L90">
        <f t="shared" si="13"/>
        <v>125.13407102299107</v>
      </c>
      <c r="N90">
        <v>81</v>
      </c>
      <c r="O90">
        <f t="shared" si="14"/>
        <v>102.92166769141829</v>
      </c>
      <c r="Q90">
        <v>81</v>
      </c>
      <c r="R90">
        <f t="shared" si="15"/>
        <v>245.4565395510603</v>
      </c>
      <c r="T90">
        <v>81</v>
      </c>
      <c r="U90">
        <f t="shared" si="16"/>
        <v>140.92207102299108</v>
      </c>
      <c r="W90">
        <v>81</v>
      </c>
      <c r="X90">
        <f t="shared" si="17"/>
        <v>81.249923631944142</v>
      </c>
      <c r="Z90">
        <v>81</v>
      </c>
      <c r="AA90">
        <f t="shared" si="9"/>
        <v>154.63407102299107</v>
      </c>
    </row>
    <row r="91" spans="1:27" x14ac:dyDescent="0.25">
      <c r="A91">
        <v>0.91850562911148026</v>
      </c>
      <c r="B91">
        <v>82</v>
      </c>
      <c r="C91">
        <f t="shared" si="10"/>
        <v>120.92634798849693</v>
      </c>
      <c r="E91">
        <v>82</v>
      </c>
      <c r="F91">
        <f t="shared" si="11"/>
        <v>166.23954798849692</v>
      </c>
      <c r="H91">
        <v>82</v>
      </c>
      <c r="I91">
        <f t="shared" si="12"/>
        <v>278.68482360023103</v>
      </c>
      <c r="K91">
        <v>82</v>
      </c>
      <c r="L91">
        <f t="shared" si="13"/>
        <v>141.92634798849693</v>
      </c>
      <c r="N91">
        <v>82</v>
      </c>
      <c r="O91">
        <f t="shared" si="14"/>
        <v>119.29609805135284</v>
      </c>
      <c r="Q91">
        <v>82</v>
      </c>
      <c r="R91">
        <f t="shared" si="15"/>
        <v>262.34052504887052</v>
      </c>
      <c r="T91">
        <v>82</v>
      </c>
      <c r="U91">
        <f t="shared" si="16"/>
        <v>158.31834798849692</v>
      </c>
      <c r="W91">
        <v>82</v>
      </c>
      <c r="X91">
        <f t="shared" si="17"/>
        <v>96.813870910057901</v>
      </c>
      <c r="Z91">
        <v>82</v>
      </c>
      <c r="AA91">
        <f t="shared" si="9"/>
        <v>170.92634798849693</v>
      </c>
    </row>
    <row r="92" spans="1:27" x14ac:dyDescent="0.25">
      <c r="A92">
        <v>0.6174662822455812</v>
      </c>
      <c r="B92">
        <v>83</v>
      </c>
      <c r="C92">
        <f t="shared" si="10"/>
        <v>104.48249568632481</v>
      </c>
      <c r="E92">
        <v>83</v>
      </c>
      <c r="F92">
        <f t="shared" si="11"/>
        <v>151.73854568632481</v>
      </c>
      <c r="H92">
        <v>83</v>
      </c>
      <c r="I92">
        <f t="shared" si="12"/>
        <v>267.44803790866973</v>
      </c>
      <c r="K92">
        <v>83</v>
      </c>
      <c r="L92">
        <f t="shared" si="13"/>
        <v>125.98249568632481</v>
      </c>
      <c r="N92">
        <v>83</v>
      </c>
      <c r="O92">
        <f t="shared" si="14"/>
        <v>102.93052002848393</v>
      </c>
      <c r="Q92">
        <v>83</v>
      </c>
      <c r="R92">
        <f t="shared" si="15"/>
        <v>246.4826363829211</v>
      </c>
      <c r="T92">
        <v>83</v>
      </c>
      <c r="U92">
        <f t="shared" si="16"/>
        <v>142.99449568632483</v>
      </c>
      <c r="W92">
        <v>83</v>
      </c>
      <c r="X92">
        <f t="shared" si="17"/>
        <v>79.855712974056743</v>
      </c>
      <c r="Z92">
        <v>83</v>
      </c>
      <c r="AA92">
        <f t="shared" si="9"/>
        <v>154.48249568632482</v>
      </c>
    </row>
    <row r="93" spans="1:27" x14ac:dyDescent="0.25">
      <c r="A93">
        <v>0.87325480088655993</v>
      </c>
      <c r="B93">
        <v>84</v>
      </c>
      <c r="C93">
        <f t="shared" si="10"/>
        <v>117.12868728504108</v>
      </c>
      <c r="E93">
        <v>84</v>
      </c>
      <c r="F93">
        <f t="shared" si="11"/>
        <v>166.38628728504105</v>
      </c>
      <c r="H93">
        <v>84</v>
      </c>
      <c r="I93">
        <f t="shared" si="12"/>
        <v>285.40648584113978</v>
      </c>
      <c r="K93">
        <v>84</v>
      </c>
      <c r="L93">
        <f t="shared" si="13"/>
        <v>139.12868728504108</v>
      </c>
      <c r="N93">
        <v>84</v>
      </c>
      <c r="O93">
        <f t="shared" si="14"/>
        <v>115.65128411571378</v>
      </c>
      <c r="Q93">
        <v>84</v>
      </c>
      <c r="R93">
        <f t="shared" si="15"/>
        <v>259.70917071738762</v>
      </c>
      <c r="T93">
        <v>84</v>
      </c>
      <c r="U93">
        <f t="shared" si="16"/>
        <v>156.77668728504108</v>
      </c>
      <c r="W93">
        <v>84</v>
      </c>
      <c r="X93">
        <f t="shared" si="17"/>
        <v>92.206188005722595</v>
      </c>
      <c r="Z93">
        <v>84</v>
      </c>
      <c r="AA93">
        <f t="shared" si="9"/>
        <v>167.12868728504108</v>
      </c>
    </row>
    <row r="94" spans="1:27" x14ac:dyDescent="0.25">
      <c r="A94">
        <v>0.14354014179491892</v>
      </c>
      <c r="B94">
        <v>85</v>
      </c>
      <c r="C94">
        <f t="shared" si="10"/>
        <v>84.031772100960737</v>
      </c>
      <c r="E94">
        <v>85</v>
      </c>
      <c r="F94">
        <f t="shared" si="11"/>
        <v>135.35052210096075</v>
      </c>
      <c r="H94">
        <v>85</v>
      </c>
      <c r="I94">
        <f t="shared" si="12"/>
        <v>257.72914168732069</v>
      </c>
      <c r="K94">
        <v>85</v>
      </c>
      <c r="L94">
        <f t="shared" si="13"/>
        <v>106.53177210096074</v>
      </c>
      <c r="N94">
        <v>85</v>
      </c>
      <c r="O94">
        <f t="shared" si="14"/>
        <v>82.625409396636186</v>
      </c>
      <c r="Q94">
        <v>85</v>
      </c>
      <c r="R94">
        <f t="shared" si="15"/>
        <v>227.18709725037297</v>
      </c>
      <c r="T94">
        <v>85</v>
      </c>
      <c r="U94">
        <f t="shared" si="16"/>
        <v>124.83177210096075</v>
      </c>
      <c r="W94">
        <v>85</v>
      </c>
      <c r="X94">
        <f>_xlfn.NORM.INV($A94,$X$5+$X$6*SIN(2*PI()*$X$7*W94+$X$8),$C$3)</f>
        <v>59.034770122554491</v>
      </c>
      <c r="Z94">
        <v>85</v>
      </c>
      <c r="AA94">
        <f t="shared" si="9"/>
        <v>134.03177210096072</v>
      </c>
    </row>
    <row r="95" spans="1:27" x14ac:dyDescent="0.25">
      <c r="A95">
        <v>0.41284355872119527</v>
      </c>
      <c r="B95">
        <v>86</v>
      </c>
      <c r="C95">
        <f t="shared" si="10"/>
        <v>96.696455310663509</v>
      </c>
      <c r="E95">
        <v>86</v>
      </c>
      <c r="F95">
        <f t="shared" si="11"/>
        <v>150.13685531066352</v>
      </c>
      <c r="H95">
        <v>86</v>
      </c>
      <c r="I95">
        <f t="shared" si="12"/>
        <v>275.92287852446617</v>
      </c>
      <c r="K95">
        <v>86</v>
      </c>
      <c r="L95">
        <f t="shared" si="13"/>
        <v>119.69645531066351</v>
      </c>
      <c r="N95">
        <v>86</v>
      </c>
      <c r="O95">
        <f t="shared" si="14"/>
        <v>95.357763527897021</v>
      </c>
      <c r="Q95">
        <v>86</v>
      </c>
      <c r="R95">
        <f t="shared" si="15"/>
        <v>240.4212371094859</v>
      </c>
      <c r="T95">
        <v>86</v>
      </c>
      <c r="U95">
        <f t="shared" si="16"/>
        <v>138.66445531066353</v>
      </c>
      <c r="W95">
        <v>86</v>
      </c>
      <c r="X95">
        <f t="shared" si="17"/>
        <v>71.846825792363589</v>
      </c>
      <c r="Z95">
        <v>86</v>
      </c>
      <c r="AA95">
        <f t="shared" si="9"/>
        <v>146.69645531066351</v>
      </c>
    </row>
    <row r="96" spans="1:27" x14ac:dyDescent="0.25">
      <c r="A96">
        <v>0.49015557330387505</v>
      </c>
      <c r="B96">
        <v>87</v>
      </c>
      <c r="C96">
        <f t="shared" si="10"/>
        <v>99.629817652629796</v>
      </c>
      <c r="E96">
        <v>87</v>
      </c>
      <c r="F96">
        <f t="shared" si="11"/>
        <v>155.2532676526298</v>
      </c>
      <c r="H96">
        <v>87</v>
      </c>
      <c r="I96">
        <f t="shared" si="12"/>
        <v>284.49698878622934</v>
      </c>
      <c r="K96">
        <v>87</v>
      </c>
      <c r="L96">
        <f t="shared" si="13"/>
        <v>123.1298176526298</v>
      </c>
      <c r="N96">
        <v>87</v>
      </c>
      <c r="O96">
        <f t="shared" si="14"/>
        <v>98.355582706218641</v>
      </c>
      <c r="Q96">
        <v>87</v>
      </c>
      <c r="R96">
        <f t="shared" si="15"/>
        <v>243.91878322636924</v>
      </c>
      <c r="T96">
        <v>87</v>
      </c>
      <c r="U96">
        <f t="shared" si="16"/>
        <v>142.7818176526298</v>
      </c>
      <c r="W96">
        <v>87</v>
      </c>
      <c r="X96">
        <f t="shared" si="17"/>
        <v>75.148127665241319</v>
      </c>
      <c r="Z96">
        <v>87</v>
      </c>
      <c r="AA96">
        <f t="shared" si="9"/>
        <v>149.62981765262981</v>
      </c>
    </row>
    <row r="97" spans="1:27" x14ac:dyDescent="0.25">
      <c r="A97">
        <v>0.49768981681368252</v>
      </c>
      <c r="B97">
        <v>88</v>
      </c>
      <c r="C97">
        <f t="shared" si="10"/>
        <v>99.913137957123197</v>
      </c>
      <c r="E97">
        <v>88</v>
      </c>
      <c r="F97">
        <f t="shared" si="11"/>
        <v>157.78193795712315</v>
      </c>
      <c r="H97">
        <v>88</v>
      </c>
      <c r="I97">
        <f t="shared" si="12"/>
        <v>290.53500767725262</v>
      </c>
      <c r="K97">
        <v>88</v>
      </c>
      <c r="L97">
        <f t="shared" si="13"/>
        <v>123.9131379571232</v>
      </c>
      <c r="N97">
        <v>88</v>
      </c>
      <c r="O97">
        <f t="shared" si="14"/>
        <v>98.70029445869578</v>
      </c>
      <c r="Q97">
        <v>88</v>
      </c>
      <c r="R97">
        <f t="shared" si="15"/>
        <v>244.76112302997814</v>
      </c>
      <c r="T97">
        <v>88</v>
      </c>
      <c r="U97">
        <f t="shared" si="16"/>
        <v>144.26513795712319</v>
      </c>
      <c r="W97">
        <v>88</v>
      </c>
      <c r="X97">
        <f t="shared" si="17"/>
        <v>76.016688714127085</v>
      </c>
      <c r="Z97">
        <v>88</v>
      </c>
      <c r="AA97">
        <f t="shared" si="9"/>
        <v>149.91313795712318</v>
      </c>
    </row>
    <row r="98" spans="1:27" x14ac:dyDescent="0.25">
      <c r="A98">
        <v>0.45313027344749224</v>
      </c>
      <c r="B98">
        <v>89</v>
      </c>
      <c r="C98">
        <f t="shared" si="10"/>
        <v>98.233651539561379</v>
      </c>
      <c r="E98">
        <v>89</v>
      </c>
      <c r="F98">
        <f t="shared" si="11"/>
        <v>158.41100153956137</v>
      </c>
      <c r="H98">
        <v>89</v>
      </c>
      <c r="I98">
        <f t="shared" si="12"/>
        <v>294.72647246911868</v>
      </c>
      <c r="K98">
        <v>89</v>
      </c>
      <c r="L98">
        <f t="shared" si="13"/>
        <v>122.73365153956138</v>
      </c>
      <c r="N98">
        <v>89</v>
      </c>
      <c r="O98">
        <f t="shared" si="14"/>
        <v>97.079276291169151</v>
      </c>
      <c r="Q98">
        <v>89</v>
      </c>
      <c r="R98">
        <f t="shared" si="15"/>
        <v>243.63559699447444</v>
      </c>
      <c r="T98">
        <v>89</v>
      </c>
      <c r="U98">
        <f t="shared" si="16"/>
        <v>143.80165153956136</v>
      </c>
      <c r="W98">
        <v>89</v>
      </c>
      <c r="X98">
        <f t="shared" si="17"/>
        <v>75.134549616159845</v>
      </c>
      <c r="Z98">
        <v>89</v>
      </c>
      <c r="AA98">
        <f t="shared" si="9"/>
        <v>148.23365153956138</v>
      </c>
    </row>
    <row r="99" spans="1:27" x14ac:dyDescent="0.25">
      <c r="A99">
        <v>0.94451918644371546</v>
      </c>
      <c r="B99">
        <v>90</v>
      </c>
      <c r="C99">
        <f t="shared" si="10"/>
        <v>123.90828622059132</v>
      </c>
      <c r="E99">
        <v>90</v>
      </c>
      <c r="F99">
        <f t="shared" si="11"/>
        <v>186.45828622059133</v>
      </c>
      <c r="H99">
        <v>90</v>
      </c>
      <c r="I99">
        <f t="shared" si="12"/>
        <v>326.39065944123865</v>
      </c>
      <c r="K99">
        <v>90</v>
      </c>
      <c r="L99">
        <f t="shared" si="13"/>
        <v>148.90828622059132</v>
      </c>
      <c r="N99">
        <v>90</v>
      </c>
      <c r="O99">
        <f t="shared" si="14"/>
        <v>122.80959195753201</v>
      </c>
      <c r="Q99">
        <v>90</v>
      </c>
      <c r="R99">
        <f t="shared" si="15"/>
        <v>269.85923480552771</v>
      </c>
      <c r="T99">
        <v>90</v>
      </c>
      <c r="U99">
        <f t="shared" si="16"/>
        <v>170.70828622059133</v>
      </c>
      <c r="W99">
        <v>90</v>
      </c>
      <c r="X99">
        <f t="shared" si="17"/>
        <v>101.81156088073064</v>
      </c>
      <c r="Z99">
        <v>90</v>
      </c>
      <c r="AA99">
        <f t="shared" si="9"/>
        <v>173.90828622059132</v>
      </c>
    </row>
    <row r="100" spans="1:27" x14ac:dyDescent="0.25">
      <c r="A100">
        <v>1.8769235684351293E-2</v>
      </c>
      <c r="B100">
        <v>91</v>
      </c>
      <c r="C100">
        <f t="shared" si="10"/>
        <v>68.802115617778583</v>
      </c>
      <c r="E100">
        <v>91</v>
      </c>
      <c r="F100">
        <f t="shared" si="11"/>
        <v>133.78976561777856</v>
      </c>
      <c r="H100">
        <v>91</v>
      </c>
      <c r="I100">
        <f t="shared" si="12"/>
        <v>277.39503811195624</v>
      </c>
      <c r="K100">
        <v>91</v>
      </c>
      <c r="L100">
        <f t="shared" si="13"/>
        <v>94.302115617778583</v>
      </c>
      <c r="N100">
        <v>91</v>
      </c>
      <c r="O100">
        <f t="shared" si="14"/>
        <v>67.756444994586758</v>
      </c>
      <c r="Q100">
        <v>91</v>
      </c>
      <c r="R100">
        <f t="shared" si="15"/>
        <v>215.29720879046548</v>
      </c>
      <c r="T100">
        <v>91</v>
      </c>
      <c r="U100">
        <f t="shared" si="16"/>
        <v>116.85011561777858</v>
      </c>
      <c r="W100">
        <v>91</v>
      </c>
      <c r="X100">
        <f t="shared" si="17"/>
        <v>47.90389895988735</v>
      </c>
      <c r="Z100">
        <v>91</v>
      </c>
      <c r="AA100">
        <f t="shared" si="9"/>
        <v>118.80211561777858</v>
      </c>
    </row>
    <row r="101" spans="1:27" x14ac:dyDescent="0.25">
      <c r="A101">
        <v>0.12587474982138402</v>
      </c>
      <c r="B101">
        <v>92</v>
      </c>
      <c r="C101">
        <f t="shared" si="10"/>
        <v>82.808344895658763</v>
      </c>
      <c r="E101">
        <v>92</v>
      </c>
      <c r="F101">
        <f t="shared" si="11"/>
        <v>150.29954489565876</v>
      </c>
      <c r="H101">
        <v>92</v>
      </c>
      <c r="I101">
        <f t="shared" si="12"/>
        <v>297.6352579469916</v>
      </c>
      <c r="K101">
        <v>92</v>
      </c>
      <c r="L101">
        <f t="shared" si="13"/>
        <v>108.80834489565876</v>
      </c>
      <c r="N101">
        <v>92</v>
      </c>
      <c r="O101">
        <f t="shared" si="14"/>
        <v>81.81316470896833</v>
      </c>
      <c r="Q101">
        <v>92</v>
      </c>
      <c r="R101">
        <f t="shared" si="15"/>
        <v>229.84281979951461</v>
      </c>
      <c r="T101">
        <v>92</v>
      </c>
      <c r="U101">
        <f t="shared" si="16"/>
        <v>132.12034489565877</v>
      </c>
      <c r="W101">
        <v>92</v>
      </c>
      <c r="X101">
        <f t="shared" si="17"/>
        <v>63.294130970257442</v>
      </c>
      <c r="Z101">
        <v>92</v>
      </c>
      <c r="AA101">
        <f t="shared" si="9"/>
        <v>132.80834489565876</v>
      </c>
    </row>
    <row r="102" spans="1:27" x14ac:dyDescent="0.25">
      <c r="A102">
        <v>0.25600220627044679</v>
      </c>
      <c r="B102">
        <v>93</v>
      </c>
      <c r="C102">
        <f t="shared" si="10"/>
        <v>90.164202668758293</v>
      </c>
      <c r="E102">
        <v>93</v>
      </c>
      <c r="F102">
        <f t="shared" si="11"/>
        <v>160.2257526687583</v>
      </c>
      <c r="H102">
        <v>93</v>
      </c>
      <c r="I102">
        <f t="shared" si="12"/>
        <v>311.35104124021507</v>
      </c>
      <c r="K102">
        <v>93</v>
      </c>
      <c r="L102">
        <f t="shared" si="13"/>
        <v>116.66420266875829</v>
      </c>
      <c r="N102">
        <v>93</v>
      </c>
      <c r="O102">
        <f t="shared" si="14"/>
        <v>89.217098310563671</v>
      </c>
      <c r="Q102">
        <v>93</v>
      </c>
      <c r="R102">
        <f t="shared" si="15"/>
        <v>237.73338923319497</v>
      </c>
      <c r="T102">
        <v>93</v>
      </c>
      <c r="U102">
        <f t="shared" si="16"/>
        <v>140.75620266875828</v>
      </c>
      <c r="W102">
        <v>93</v>
      </c>
      <c r="X102">
        <f t="shared" si="17"/>
        <v>72.207201020134903</v>
      </c>
      <c r="Z102">
        <v>93</v>
      </c>
      <c r="AA102">
        <f t="shared" si="9"/>
        <v>140.16420266875829</v>
      </c>
    </row>
    <row r="103" spans="1:27" x14ac:dyDescent="0.25">
      <c r="A103">
        <v>0.37668805226436664</v>
      </c>
      <c r="B103">
        <v>94</v>
      </c>
      <c r="C103">
        <f t="shared" si="10"/>
        <v>95.287137502944205</v>
      </c>
      <c r="E103">
        <v>94</v>
      </c>
      <c r="F103">
        <f t="shared" si="11"/>
        <v>167.98673750294418</v>
      </c>
      <c r="H103">
        <v>94</v>
      </c>
      <c r="I103">
        <f t="shared" si="12"/>
        <v>322.96238061250165</v>
      </c>
      <c r="K103">
        <v>94</v>
      </c>
      <c r="L103">
        <f t="shared" si="13"/>
        <v>122.2871375029442</v>
      </c>
      <c r="N103">
        <v>94</v>
      </c>
      <c r="O103">
        <f t="shared" si="14"/>
        <v>94.385807637659411</v>
      </c>
      <c r="Q103">
        <v>94</v>
      </c>
      <c r="R103">
        <f t="shared" si="15"/>
        <v>243.38645566165113</v>
      </c>
      <c r="T103">
        <v>94</v>
      </c>
      <c r="U103">
        <f t="shared" si="16"/>
        <v>147.17513750294421</v>
      </c>
      <c r="W103">
        <v>94</v>
      </c>
      <c r="X103">
        <f t="shared" si="17"/>
        <v>79.046735748977014</v>
      </c>
      <c r="Z103">
        <v>94</v>
      </c>
      <c r="AA103">
        <f t="shared" si="9"/>
        <v>145.2871375029442</v>
      </c>
    </row>
    <row r="104" spans="1:27" x14ac:dyDescent="0.25">
      <c r="A104">
        <v>0.19231247242210059</v>
      </c>
      <c r="B104">
        <v>95</v>
      </c>
      <c r="C104">
        <f t="shared" si="10"/>
        <v>86.958905675900539</v>
      </c>
      <c r="E104">
        <v>95</v>
      </c>
      <c r="F104">
        <f t="shared" si="11"/>
        <v>162.36515567590052</v>
      </c>
      <c r="H104">
        <v>95</v>
      </c>
      <c r="I104">
        <f t="shared" si="12"/>
        <v>321.25362778986408</v>
      </c>
      <c r="K104">
        <v>95</v>
      </c>
      <c r="L104">
        <f t="shared" si="13"/>
        <v>114.45890567590054</v>
      </c>
      <c r="N104">
        <v>95</v>
      </c>
      <c r="O104">
        <f t="shared" si="14"/>
        <v>86.101157134529345</v>
      </c>
      <c r="Q104">
        <v>95</v>
      </c>
      <c r="R104">
        <f t="shared" si="15"/>
        <v>235.5838626971107</v>
      </c>
      <c r="T104">
        <v>95</v>
      </c>
      <c r="U104">
        <f t="shared" si="16"/>
        <v>140.15890567590051</v>
      </c>
      <c r="W104">
        <v>95</v>
      </c>
      <c r="X104">
        <f t="shared" si="17"/>
        <v>72.579254772278148</v>
      </c>
      <c r="Z104">
        <v>95</v>
      </c>
      <c r="AA104">
        <f t="shared" si="9"/>
        <v>136.95890567590052</v>
      </c>
    </row>
    <row r="105" spans="1:27" x14ac:dyDescent="0.25">
      <c r="A105">
        <v>0.14413195196711492</v>
      </c>
      <c r="B105">
        <v>96</v>
      </c>
      <c r="C105">
        <f t="shared" si="10"/>
        <v>84.070932358003986</v>
      </c>
      <c r="E105">
        <v>96</v>
      </c>
      <c r="F105">
        <f t="shared" si="11"/>
        <v>162.25333235800397</v>
      </c>
      <c r="H105">
        <v>96</v>
      </c>
      <c r="I105">
        <f t="shared" si="12"/>
        <v>325.11885582254143</v>
      </c>
      <c r="K105">
        <v>96</v>
      </c>
      <c r="L105">
        <f t="shared" si="13"/>
        <v>112.07093235800399</v>
      </c>
      <c r="N105">
        <v>96</v>
      </c>
      <c r="O105">
        <f t="shared" si="14"/>
        <v>83.254675242687995</v>
      </c>
      <c r="Q105">
        <v>96</v>
      </c>
      <c r="R105">
        <f t="shared" si="15"/>
        <v>233.21712028110747</v>
      </c>
      <c r="T105">
        <v>96</v>
      </c>
      <c r="U105">
        <f t="shared" si="16"/>
        <v>138.59893235800402</v>
      </c>
      <c r="W105">
        <v>96</v>
      </c>
      <c r="X105">
        <f t="shared" si="17"/>
        <v>71.679667104137664</v>
      </c>
      <c r="Z105">
        <v>96</v>
      </c>
      <c r="AA105">
        <f t="shared" si="9"/>
        <v>134.070932358004</v>
      </c>
    </row>
    <row r="106" spans="1:27" x14ac:dyDescent="0.25">
      <c r="A106">
        <v>0.45361000994685541</v>
      </c>
      <c r="B106">
        <v>97</v>
      </c>
      <c r="C106">
        <f t="shared" si="10"/>
        <v>98.251813561489158</v>
      </c>
      <c r="E106">
        <v>97</v>
      </c>
      <c r="F106">
        <f t="shared" si="11"/>
        <v>179.28076356148918</v>
      </c>
      <c r="H106">
        <v>97</v>
      </c>
      <c r="I106">
        <f t="shared" si="12"/>
        <v>346.18936209335277</v>
      </c>
      <c r="K106">
        <v>97</v>
      </c>
      <c r="L106">
        <f t="shared" si="13"/>
        <v>126.75181356148916</v>
      </c>
      <c r="N106">
        <v>97</v>
      </c>
      <c r="O106">
        <f t="shared" si="14"/>
        <v>97.475056553687651</v>
      </c>
      <c r="Q106">
        <v>97</v>
      </c>
      <c r="R106">
        <f t="shared" si="15"/>
        <v>247.91490673469789</v>
      </c>
      <c r="T106">
        <v>97</v>
      </c>
      <c r="U106">
        <f t="shared" si="16"/>
        <v>154.12381356148919</v>
      </c>
      <c r="W106">
        <v>97</v>
      </c>
      <c r="X106">
        <f t="shared" si="17"/>
        <v>87.958919704997498</v>
      </c>
      <c r="Z106">
        <v>97</v>
      </c>
      <c r="AA106">
        <f t="shared" si="9"/>
        <v>148.25181356148917</v>
      </c>
    </row>
    <row r="107" spans="1:27" x14ac:dyDescent="0.25">
      <c r="A107">
        <v>0.12204407111024518</v>
      </c>
      <c r="B107">
        <v>98</v>
      </c>
      <c r="C107">
        <f t="shared" si="10"/>
        <v>82.527562205478787</v>
      </c>
      <c r="E107">
        <v>98</v>
      </c>
      <c r="F107">
        <f t="shared" si="11"/>
        <v>166.47436220547877</v>
      </c>
      <c r="H107">
        <v>98</v>
      </c>
      <c r="I107">
        <f t="shared" si="12"/>
        <v>337.49391546331043</v>
      </c>
      <c r="K107">
        <v>98</v>
      </c>
      <c r="L107">
        <f t="shared" si="13"/>
        <v>111.52756220547879</v>
      </c>
      <c r="N107">
        <v>98</v>
      </c>
      <c r="O107">
        <f t="shared" si="14"/>
        <v>81.788408071050597</v>
      </c>
      <c r="Q107">
        <v>98</v>
      </c>
      <c r="R107">
        <f t="shared" si="15"/>
        <v>232.70331491956316</v>
      </c>
      <c r="T107">
        <v>98</v>
      </c>
      <c r="U107">
        <f t="shared" si="16"/>
        <v>139.7595622054788</v>
      </c>
      <c r="W107">
        <v>98</v>
      </c>
      <c r="X107">
        <f t="shared" si="17"/>
        <v>74.424400200905453</v>
      </c>
      <c r="Z107">
        <v>98</v>
      </c>
      <c r="AA107">
        <f t="shared" si="9"/>
        <v>132.52756220547877</v>
      </c>
    </row>
    <row r="108" spans="1:27" x14ac:dyDescent="0.25">
      <c r="A108">
        <v>2.4815196788698257E-2</v>
      </c>
      <c r="B108">
        <v>99</v>
      </c>
      <c r="C108">
        <f t="shared" si="10"/>
        <v>70.552962596123947</v>
      </c>
      <c r="E108">
        <v>99</v>
      </c>
      <c r="F108">
        <f t="shared" si="11"/>
        <v>157.48981259612395</v>
      </c>
      <c r="H108">
        <v>99</v>
      </c>
      <c r="I108">
        <f t="shared" si="12"/>
        <v>332.69011185417457</v>
      </c>
      <c r="K108">
        <v>99</v>
      </c>
      <c r="L108">
        <f t="shared" si="13"/>
        <v>100.05296259612395</v>
      </c>
      <c r="N108">
        <v>99</v>
      </c>
      <c r="O108">
        <f t="shared" si="14"/>
        <v>69.849603880624429</v>
      </c>
      <c r="Q108">
        <v>99</v>
      </c>
      <c r="R108">
        <f t="shared" si="15"/>
        <v>221.23720680953397</v>
      </c>
      <c r="T108">
        <v>99</v>
      </c>
      <c r="U108">
        <f t="shared" si="16"/>
        <v>129.16096259612397</v>
      </c>
      <c r="W108">
        <v>99</v>
      </c>
      <c r="X108">
        <f t="shared" si="17"/>
        <v>64.711456683075482</v>
      </c>
      <c r="Z108">
        <v>99</v>
      </c>
      <c r="AA108">
        <f t="shared" si="9"/>
        <v>120.55296259612395</v>
      </c>
    </row>
    <row r="109" spans="1:27" x14ac:dyDescent="0.25">
      <c r="A109">
        <v>8.0474396520182068E-2</v>
      </c>
      <c r="B109">
        <v>100</v>
      </c>
      <c r="C109">
        <f t="shared" si="10"/>
        <v>78.971684952633055</v>
      </c>
      <c r="E109">
        <v>100</v>
      </c>
      <c r="F109">
        <f t="shared" si="11"/>
        <v>168.97168495263307</v>
      </c>
      <c r="H109">
        <v>100</v>
      </c>
      <c r="I109">
        <f t="shared" si="12"/>
        <v>348.42448989916556</v>
      </c>
      <c r="K109">
        <v>100</v>
      </c>
      <c r="L109">
        <f t="shared" si="13"/>
        <v>108.97168495263305</v>
      </c>
      <c r="N109">
        <v>100</v>
      </c>
      <c r="O109">
        <f t="shared" si="14"/>
        <v>78.302399860204574</v>
      </c>
      <c r="Q109">
        <v>100</v>
      </c>
      <c r="R109">
        <f t="shared" si="15"/>
        <v>230.16032810359113</v>
      </c>
      <c r="T109">
        <v>100</v>
      </c>
      <c r="U109">
        <f t="shared" si="16"/>
        <v>138.97168495263307</v>
      </c>
      <c r="W109">
        <v>100</v>
      </c>
      <c r="X109">
        <f t="shared" si="17"/>
        <v>75.44368475113636</v>
      </c>
      <c r="Z109">
        <v>100</v>
      </c>
      <c r="AA109">
        <f t="shared" si="9"/>
        <v>128.97168495263307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 Haden CIV (USA)</dc:creator>
  <cp:lastModifiedBy>Smith, C Haden CIV (USA)</cp:lastModifiedBy>
  <dcterms:created xsi:type="dcterms:W3CDTF">2025-05-12T14:28:30Z</dcterms:created>
  <dcterms:modified xsi:type="dcterms:W3CDTF">2026-01-26T14:18:13Z</dcterms:modified>
</cp:coreProperties>
</file>