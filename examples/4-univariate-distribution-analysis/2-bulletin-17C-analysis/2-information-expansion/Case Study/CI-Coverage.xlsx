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RR-Improving-Bulletin-17C\src\results\"/>
    </mc:Choice>
  </mc:AlternateContent>
  <xr:revisionPtr revIDLastSave="0" documentId="8_{A565D7DD-CC31-45A4-8234-4B0D18EE1D66}" xr6:coauthVersionLast="47" xr6:coauthVersionMax="47" xr10:uidLastSave="{00000000-0000-0000-0000-000000000000}"/>
  <bookViews>
    <workbookView xWindow="-28920" yWindow="-1200" windowWidth="29040" windowHeight="17520" xr2:uid="{3E784FDC-2477-4048-A590-DA567C250B71}"/>
  </bookViews>
  <sheets>
    <sheet name="Sheet1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" l="1"/>
  <c r="M15" i="2"/>
  <c r="D15" i="2"/>
  <c r="G15" i="2"/>
  <c r="J15" i="2"/>
</calcChain>
</file>

<file path=xl/sharedStrings.xml><?xml version="1.0" encoding="utf-8"?>
<sst xmlns="http://schemas.openxmlformats.org/spreadsheetml/2006/main" count="24" uniqueCount="12">
  <si>
    <t>Sk</t>
  </si>
  <si>
    <t>% Below</t>
  </si>
  <si>
    <t>% Above</t>
  </si>
  <si>
    <t>Linked MVN</t>
  </si>
  <si>
    <t>% Coverage</t>
  </si>
  <si>
    <r>
      <t>90% Confidence Intervals for X</t>
    </r>
    <r>
      <rPr>
        <vertAlign val="subscript"/>
        <sz val="11"/>
        <color theme="1"/>
        <rFont val="Aptos Narrow"/>
        <family val="2"/>
        <scheme val="minor"/>
      </rPr>
      <t>0.99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</si>
  <si>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S</t>
    </r>
  </si>
  <si>
    <t>BCa Bootstrap</t>
  </si>
  <si>
    <t>Plain MVN</t>
  </si>
  <si>
    <t>Percentile Bootstrap</t>
  </si>
  <si>
    <t>Bias Corrected (Pivot) Bootstrap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</si>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</sst>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0" xfId="1" applyNumberFormat="1" applyFont="1" applyFill="1"/>
    <xf numFmtId="165" fontId="0" fillId="0" borderId="0" xfId="0" applyNumberFormat="1"/>
    <xf numFmtId="165" fontId="0" fillId="0" borderId="1" xfId="0" applyNumberFormat="1" applyBorder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5" xfId="0" applyBorder="1" applyAlignment="1">
      <alignment horizontal="center"/>
    </xf>
    <xf numFmtId="164" fontId="0" fillId="0" borderId="6" xfId="1" applyNumberFormat="1" applyFont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8" xfId="0" applyBorder="1" applyAlignment="1">
      <alignment horizontal="center"/>
    </xf>
    <xf numFmtId="164" fontId="0" fillId="0" borderId="9" xfId="1" applyNumberFormat="1" applyFont="1" applyBorder="1"/>
    <xf numFmtId="164" fontId="0" fillId="0" borderId="8" xfId="1" applyNumberFormat="1" applyFont="1" applyBorder="1"/>
    <xf numFmtId="164" fontId="0" fillId="0" borderId="0" xfId="1" applyNumberFormat="1" applyFont="1" applyFill="1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1" applyNumberFormat="1" applyFont="1" applyFill="1" applyBorder="1"/>
    <xf numFmtId="164" fontId="0" fillId="0" borderId="9" xfId="1" applyNumberFormat="1" applyFont="1" applyFill="1" applyBorder="1"/>
    <xf numFmtId="164" fontId="0" fillId="0" borderId="10" xfId="1" applyNumberFormat="1" applyFont="1" applyBorder="1"/>
    <xf numFmtId="165" fontId="0" fillId="0" borderId="2" xfId="0" applyNumberFormat="1" applyBorder="1"/>
    <xf numFmtId="164" fontId="0" fillId="0" borderId="11" xfId="1" applyNumberFormat="1" applyFont="1" applyBorder="1"/>
    <xf numFmtId="164" fontId="0" fillId="0" borderId="2" xfId="1" applyNumberFormat="1" applyFont="1" applyBorder="1"/>
    <xf numFmtId="164" fontId="0" fillId="0" borderId="2" xfId="1" applyNumberFormat="1" applyFont="1" applyFill="1" applyBorder="1"/>
    <xf numFmtId="164" fontId="0" fillId="0" borderId="10" xfId="1" applyNumberFormat="1" applyFont="1" applyFill="1" applyBorder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B5A0-BD0D-4D2D-BF7E-56272786520D}">
  <dimension ref="A2:R18"/>
  <sheetViews>
    <sheetView tabSelected="1" zoomScale="90" zoomScaleNormal="90" workbookViewId="0">
      <selection activeCell="E20" sqref="E20"/>
    </sheetView>
  </sheetViews>
  <sheetFormatPr defaultRowHeight="15" x14ac:dyDescent="0.25"/>
  <cols>
    <col min="2" max="2" width="4.42578125" bestFit="1" customWidth="1"/>
    <col min="3" max="3" width="4.7109375" bestFit="1" customWidth="1"/>
    <col min="4" max="18" width="11.28515625" customWidth="1"/>
    <col min="19" max="19" width="11" bestFit="1" customWidth="1"/>
    <col min="20" max="21" width="8.28515625" bestFit="1" customWidth="1"/>
    <col min="22" max="22" width="11" bestFit="1" customWidth="1"/>
    <col min="23" max="24" width="8.28515625" bestFit="1" customWidth="1"/>
    <col min="25" max="25" width="11" bestFit="1" customWidth="1"/>
    <col min="26" max="27" width="8.28515625" bestFit="1" customWidth="1"/>
  </cols>
  <sheetData>
    <row r="2" spans="1:18" ht="18" x14ac:dyDescent="0.35">
      <c r="D2" s="27" t="s">
        <v>5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8" x14ac:dyDescent="0.25">
      <c r="D3" s="28" t="s">
        <v>8</v>
      </c>
      <c r="E3" s="29"/>
      <c r="F3" s="30"/>
      <c r="G3" s="28" t="s">
        <v>9</v>
      </c>
      <c r="H3" s="29"/>
      <c r="I3" s="30"/>
      <c r="J3" s="28" t="s">
        <v>3</v>
      </c>
      <c r="K3" s="29"/>
      <c r="L3" s="30"/>
      <c r="M3" s="29" t="s">
        <v>10</v>
      </c>
      <c r="N3" s="29"/>
      <c r="O3" s="30"/>
      <c r="P3" s="29" t="s">
        <v>7</v>
      </c>
      <c r="Q3" s="29"/>
      <c r="R3" s="30"/>
    </row>
    <row r="4" spans="1:18" ht="18" x14ac:dyDescent="0.35">
      <c r="B4" s="16" t="s">
        <v>6</v>
      </c>
      <c r="C4" s="17" t="s">
        <v>0</v>
      </c>
      <c r="D4" s="8" t="s">
        <v>4</v>
      </c>
      <c r="E4" s="2" t="s">
        <v>1</v>
      </c>
      <c r="F4" s="12" t="s">
        <v>2</v>
      </c>
      <c r="G4" s="8" t="s">
        <v>4</v>
      </c>
      <c r="H4" s="2" t="s">
        <v>1</v>
      </c>
      <c r="I4" s="12" t="s">
        <v>2</v>
      </c>
      <c r="J4" s="8" t="s">
        <v>4</v>
      </c>
      <c r="K4" s="2" t="s">
        <v>1</v>
      </c>
      <c r="L4" s="12" t="s">
        <v>2</v>
      </c>
      <c r="M4" s="2" t="s">
        <v>4</v>
      </c>
      <c r="N4" s="2" t="s">
        <v>1</v>
      </c>
      <c r="O4" s="12" t="s">
        <v>2</v>
      </c>
      <c r="P4" s="2" t="s">
        <v>4</v>
      </c>
      <c r="Q4" s="2" t="s">
        <v>1</v>
      </c>
      <c r="R4" s="12" t="s">
        <v>2</v>
      </c>
    </row>
    <row r="5" spans="1:18" x14ac:dyDescent="0.25">
      <c r="B5" s="31">
        <v>25</v>
      </c>
      <c r="C5" s="4">
        <v>-0.5</v>
      </c>
      <c r="D5" s="9">
        <v>0.96299999999999997</v>
      </c>
      <c r="E5" s="10">
        <v>6.0000000000000001E-3</v>
      </c>
      <c r="F5" s="13">
        <v>3.1E-2</v>
      </c>
      <c r="G5" s="9">
        <v>0.92100000000000004</v>
      </c>
      <c r="H5" s="10">
        <v>4.0000000000000001E-3</v>
      </c>
      <c r="I5" s="13">
        <v>7.4999999999999997E-2</v>
      </c>
      <c r="J5" s="9">
        <v>0.96099999999999997</v>
      </c>
      <c r="K5" s="10">
        <v>1.2999999999999999E-2</v>
      </c>
      <c r="L5" s="13">
        <v>2.5999999999999999E-2</v>
      </c>
      <c r="M5" s="9">
        <v>0.82899999999999996</v>
      </c>
      <c r="N5" s="10">
        <v>4.1000000000000002E-2</v>
      </c>
      <c r="O5" s="13">
        <v>0.13</v>
      </c>
      <c r="P5" s="9">
        <v>0.85199999999999998</v>
      </c>
      <c r="Q5" s="10">
        <v>2.1000000000000001E-2</v>
      </c>
      <c r="R5" s="13">
        <v>0.127</v>
      </c>
    </row>
    <row r="6" spans="1:18" x14ac:dyDescent="0.25">
      <c r="B6" s="32"/>
      <c r="C6" s="4">
        <v>0</v>
      </c>
      <c r="D6" s="9">
        <v>0.88500000000000001</v>
      </c>
      <c r="E6" s="10">
        <v>4.0000000000000001E-3</v>
      </c>
      <c r="F6" s="13">
        <v>0.111</v>
      </c>
      <c r="G6" s="9">
        <v>0.86699999999999999</v>
      </c>
      <c r="H6" s="10">
        <v>3.0000000000000001E-3</v>
      </c>
      <c r="I6" s="13">
        <v>0.13</v>
      </c>
      <c r="J6" s="9">
        <v>0.89700000000000002</v>
      </c>
      <c r="K6" s="10">
        <v>1.4999999999999999E-2</v>
      </c>
      <c r="L6" s="13">
        <v>8.7999999999999995E-2</v>
      </c>
      <c r="M6" s="9">
        <v>0.83299999999999996</v>
      </c>
      <c r="N6" s="10">
        <v>5.3999999999999999E-2</v>
      </c>
      <c r="O6" s="13">
        <v>0.113</v>
      </c>
      <c r="P6" s="9">
        <v>0.83899999999999997</v>
      </c>
      <c r="Q6" s="10">
        <v>3.7999999999999999E-2</v>
      </c>
      <c r="R6" s="13">
        <v>0.123</v>
      </c>
    </row>
    <row r="7" spans="1:18" x14ac:dyDescent="0.25">
      <c r="B7" s="33"/>
      <c r="C7" s="5">
        <v>0.5</v>
      </c>
      <c r="D7" s="11">
        <v>0.83399999999999996</v>
      </c>
      <c r="E7" s="6">
        <v>3.0000000000000001E-3</v>
      </c>
      <c r="F7" s="14">
        <v>0.16300000000000001</v>
      </c>
      <c r="G7" s="11">
        <v>0.82299999999999995</v>
      </c>
      <c r="H7" s="6">
        <v>3.0000000000000001E-3</v>
      </c>
      <c r="I7" s="14">
        <v>0.17399999999999999</v>
      </c>
      <c r="J7" s="7">
        <v>0.878</v>
      </c>
      <c r="K7" s="7">
        <v>7.0000000000000001E-3</v>
      </c>
      <c r="L7" s="18">
        <v>0.115</v>
      </c>
      <c r="M7" s="7">
        <v>0.85699999999999998</v>
      </c>
      <c r="N7" s="7">
        <v>3.5000000000000003E-2</v>
      </c>
      <c r="O7" s="18">
        <v>0.108</v>
      </c>
      <c r="P7" s="7">
        <v>0.83299999999999996</v>
      </c>
      <c r="Q7" s="7">
        <v>5.0999999999999997E-2</v>
      </c>
      <c r="R7" s="18">
        <v>0.11600000000000001</v>
      </c>
    </row>
    <row r="8" spans="1:18" x14ac:dyDescent="0.25">
      <c r="B8" s="31">
        <v>50</v>
      </c>
      <c r="C8" s="4">
        <v>-0.5</v>
      </c>
      <c r="D8" s="9">
        <v>0.93300000000000005</v>
      </c>
      <c r="E8" s="10">
        <v>2.3E-2</v>
      </c>
      <c r="F8" s="13">
        <v>4.3999999999999997E-2</v>
      </c>
      <c r="G8" s="9">
        <v>0.91500000000000004</v>
      </c>
      <c r="H8" s="10">
        <v>8.0000000000000002E-3</v>
      </c>
      <c r="I8" s="13">
        <v>7.6999999999999999E-2</v>
      </c>
      <c r="J8" s="3">
        <v>0.92</v>
      </c>
      <c r="K8" s="3">
        <v>2.7E-2</v>
      </c>
      <c r="L8" s="19">
        <v>5.2999999999999999E-2</v>
      </c>
      <c r="M8" s="3">
        <v>0.83799999999999997</v>
      </c>
      <c r="N8" s="3">
        <v>0.04</v>
      </c>
      <c r="O8" s="19">
        <v>0.122</v>
      </c>
      <c r="P8" s="3">
        <v>0.84599999999999997</v>
      </c>
      <c r="Q8" s="3">
        <v>2.5000000000000001E-2</v>
      </c>
      <c r="R8" s="19">
        <v>0.129</v>
      </c>
    </row>
    <row r="9" spans="1:18" x14ac:dyDescent="0.25">
      <c r="B9" s="32"/>
      <c r="C9" s="4">
        <v>0</v>
      </c>
      <c r="D9" s="9">
        <v>0.85499999999999998</v>
      </c>
      <c r="E9" s="10">
        <v>1.6E-2</v>
      </c>
      <c r="F9" s="13">
        <v>0.129</v>
      </c>
      <c r="G9" s="9">
        <v>0.875</v>
      </c>
      <c r="H9" s="10">
        <v>7.0000000000000001E-3</v>
      </c>
      <c r="I9" s="13">
        <v>0.11799999999999999</v>
      </c>
      <c r="J9" s="3">
        <v>0.86399999999999999</v>
      </c>
      <c r="K9" s="3">
        <v>2.9000000000000001E-2</v>
      </c>
      <c r="L9" s="19">
        <v>0.107</v>
      </c>
      <c r="M9" s="3">
        <v>0.84299999999999997</v>
      </c>
      <c r="N9" s="3">
        <v>6.0999999999999999E-2</v>
      </c>
      <c r="O9" s="19">
        <v>9.6000000000000002E-2</v>
      </c>
      <c r="P9" s="3">
        <v>0.85199999999999998</v>
      </c>
      <c r="Q9" s="3">
        <v>3.7999999999999999E-2</v>
      </c>
      <c r="R9" s="19">
        <v>0.11</v>
      </c>
    </row>
    <row r="10" spans="1:18" x14ac:dyDescent="0.25">
      <c r="B10" s="33"/>
      <c r="C10" s="5">
        <v>0.5</v>
      </c>
      <c r="D10" s="11">
        <v>0.83399999999999996</v>
      </c>
      <c r="E10" s="6">
        <v>5.0000000000000001E-3</v>
      </c>
      <c r="F10" s="14">
        <v>0.161</v>
      </c>
      <c r="G10" s="11">
        <v>0.83899999999999997</v>
      </c>
      <c r="H10" s="6">
        <v>5.0000000000000001E-3</v>
      </c>
      <c r="I10" s="14">
        <v>0.156</v>
      </c>
      <c r="J10" s="7">
        <v>0.86799999999999999</v>
      </c>
      <c r="K10" s="7">
        <v>2.4E-2</v>
      </c>
      <c r="L10" s="18">
        <v>0.108</v>
      </c>
      <c r="M10" s="7">
        <v>0.85399999999999998</v>
      </c>
      <c r="N10" s="7">
        <v>6.4000000000000001E-2</v>
      </c>
      <c r="O10" s="18">
        <v>8.4000000000000005E-2</v>
      </c>
      <c r="P10" s="7">
        <v>0.86</v>
      </c>
      <c r="Q10" s="7">
        <v>5.0999999999999997E-2</v>
      </c>
      <c r="R10" s="18">
        <v>8.8999999999999996E-2</v>
      </c>
    </row>
    <row r="11" spans="1:18" x14ac:dyDescent="0.25">
      <c r="B11" s="31">
        <v>100</v>
      </c>
      <c r="C11" s="21">
        <v>-0.5</v>
      </c>
      <c r="D11" s="22">
        <v>0.92800000000000005</v>
      </c>
      <c r="E11" s="23">
        <v>3.5000000000000003E-2</v>
      </c>
      <c r="F11" s="20">
        <v>3.6999999999999998E-2</v>
      </c>
      <c r="G11" s="9">
        <v>0.91100000000000003</v>
      </c>
      <c r="H11" s="23">
        <v>2.9000000000000001E-2</v>
      </c>
      <c r="I11" s="20">
        <v>0.06</v>
      </c>
      <c r="J11" s="24">
        <v>0.91</v>
      </c>
      <c r="K11" s="24">
        <v>3.5000000000000003E-2</v>
      </c>
      <c r="L11" s="25">
        <v>5.5E-2</v>
      </c>
      <c r="M11" s="24">
        <v>0.86799999999999999</v>
      </c>
      <c r="N11" s="24">
        <v>3.7999999999999999E-2</v>
      </c>
      <c r="O11" s="25">
        <v>9.4E-2</v>
      </c>
      <c r="P11" s="15">
        <v>0.86299999999999999</v>
      </c>
      <c r="Q11" s="15">
        <v>3.7999999999999999E-2</v>
      </c>
      <c r="R11" s="25">
        <v>9.9000000000000005E-2</v>
      </c>
    </row>
    <row r="12" spans="1:18" x14ac:dyDescent="0.25">
      <c r="B12" s="32"/>
      <c r="C12" s="4">
        <v>0</v>
      </c>
      <c r="D12" s="9">
        <v>0.88400000000000001</v>
      </c>
      <c r="E12" s="10">
        <v>2.5999999999999999E-2</v>
      </c>
      <c r="F12" s="13">
        <v>0.09</v>
      </c>
      <c r="G12" s="9">
        <v>0.89500000000000002</v>
      </c>
      <c r="H12" s="10">
        <v>2.1000000000000001E-2</v>
      </c>
      <c r="I12" s="13">
        <v>8.4000000000000005E-2</v>
      </c>
      <c r="J12" s="10">
        <v>0.88900000000000001</v>
      </c>
      <c r="K12" s="10">
        <v>3.7999999999999999E-2</v>
      </c>
      <c r="L12" s="13">
        <v>7.2999999999999995E-2</v>
      </c>
      <c r="M12" s="10">
        <v>0.871</v>
      </c>
      <c r="N12" s="10">
        <v>4.9000000000000002E-2</v>
      </c>
      <c r="O12" s="13">
        <v>0.08</v>
      </c>
      <c r="P12" s="10">
        <v>0.88700000000000001</v>
      </c>
      <c r="Q12" s="10">
        <v>4.5999999999999999E-2</v>
      </c>
      <c r="R12" s="13">
        <v>6.7000000000000004E-2</v>
      </c>
    </row>
    <row r="13" spans="1:18" x14ac:dyDescent="0.25">
      <c r="B13" s="33"/>
      <c r="C13" s="5">
        <v>0.5</v>
      </c>
      <c r="D13" s="11">
        <v>0.88400000000000001</v>
      </c>
      <c r="E13" s="6">
        <v>1.4999999999999999E-2</v>
      </c>
      <c r="F13" s="14">
        <v>0.10100000000000001</v>
      </c>
      <c r="G13" s="11">
        <v>0.86899999999999999</v>
      </c>
      <c r="H13" s="6">
        <v>2.1999999999999999E-2</v>
      </c>
      <c r="I13" s="14">
        <v>0.109</v>
      </c>
      <c r="J13" s="6">
        <v>0.90900000000000003</v>
      </c>
      <c r="K13" s="6">
        <v>2.8000000000000001E-2</v>
      </c>
      <c r="L13" s="14">
        <v>6.3E-2</v>
      </c>
      <c r="M13" s="6">
        <v>0.878</v>
      </c>
      <c r="N13" s="6">
        <v>5.8999999999999997E-2</v>
      </c>
      <c r="O13" s="14">
        <v>6.3E-2</v>
      </c>
      <c r="P13" s="6">
        <v>0.88</v>
      </c>
      <c r="Q13" s="6">
        <v>6.2E-2</v>
      </c>
      <c r="R13" s="14">
        <v>5.8000000000000003E-2</v>
      </c>
    </row>
    <row r="15" spans="1:18" x14ac:dyDescent="0.25">
      <c r="A15" t="s">
        <v>11</v>
      </c>
      <c r="D15" s="1">
        <f>AVERAGE(D5:D13)</f>
        <v>0.88888888888888884</v>
      </c>
      <c r="G15" s="1">
        <f>AVERAGE(G5:G13)</f>
        <v>0.87944444444444436</v>
      </c>
      <c r="J15" s="1">
        <f>AVERAGE(J5:J13)</f>
        <v>0.89955555555555577</v>
      </c>
      <c r="M15" s="1">
        <f>AVERAGE(M5:M13)</f>
        <v>0.8523333333333335</v>
      </c>
      <c r="N15" s="15"/>
      <c r="O15" s="15"/>
      <c r="P15" s="1">
        <f>AVERAGE(P5:P13)</f>
        <v>0.85688888888888892</v>
      </c>
      <c r="Q15" s="15"/>
      <c r="R15" s="15"/>
    </row>
    <row r="18" spans="7:7" x14ac:dyDescent="0.25">
      <c r="G18" s="26"/>
    </row>
  </sheetData>
  <mergeCells count="9">
    <mergeCell ref="P3:R3"/>
    <mergeCell ref="B5:B7"/>
    <mergeCell ref="B8:B10"/>
    <mergeCell ref="B11:B13"/>
    <mergeCell ref="D2:O2"/>
    <mergeCell ref="D3:F3"/>
    <mergeCell ref="M3:O3"/>
    <mergeCell ref="G3:I3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Haden Smith</dc:creator>
  <cp:lastModifiedBy>Haden Smith</cp:lastModifiedBy>
  <dcterms:created xsi:type="dcterms:W3CDTF">2026-03-01T03:28:30Z</dcterms:created>
  <dcterms:modified xsi:type="dcterms:W3CDTF">2026-06-05T19:27:33Z</dcterms:modified>
</cp:coreProperties>
</file>