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rmc-bestfit\examples\5-bivariate-distribution-analysis\2-coincident-frequency\"/>
    </mc:Choice>
  </mc:AlternateContent>
  <xr:revisionPtr revIDLastSave="0" documentId="13_ncr:1_{A54C6AFF-BA92-406C-A928-16B6020525AE}" xr6:coauthVersionLast="47" xr6:coauthVersionMax="47" xr10:uidLastSave="{00000000-0000-0000-0000-000000000000}"/>
  <bookViews>
    <workbookView xWindow="-120" yWindow="-120" windowWidth="29040" windowHeight="15720" xr2:uid="{94C54368-9C47-4D5D-88F5-010601411B1B}"/>
  </bookViews>
  <sheets>
    <sheet name="Rho = 0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7" i="1" l="1"/>
  <c r="Q27" i="1"/>
  <c r="R27" i="1"/>
  <c r="S27" i="1"/>
  <c r="T27" i="1"/>
  <c r="U27" i="1"/>
  <c r="O27" i="1"/>
  <c r="O18" i="1"/>
  <c r="P18" i="1"/>
  <c r="Q18" i="1"/>
  <c r="R18" i="1"/>
  <c r="S18" i="1"/>
  <c r="T18" i="1"/>
  <c r="P27" i="1"/>
  <c r="U25" i="1" a="1"/>
  <c r="O19" i="1" a="1"/>
  <c r="U25" i="1" l="1"/>
  <c r="O19" i="1"/>
  <c r="O20" i="1" a="1"/>
  <c r="Q19" i="1" a="1"/>
  <c r="R21" i="1" a="1"/>
  <c r="S23" i="1" a="1"/>
  <c r="T25" i="1" a="1"/>
  <c r="S21" i="1" a="1"/>
  <c r="S19" i="1" a="1"/>
  <c r="T21" i="1" a="1"/>
  <c r="U23" i="1" a="1"/>
  <c r="T19" i="1" a="1"/>
  <c r="U21" i="1" a="1"/>
  <c r="Q24" i="1" a="1"/>
  <c r="U19" i="1" a="1"/>
  <c r="Q22" i="1" a="1"/>
  <c r="R24" i="1" a="1"/>
  <c r="Q20" i="1" a="1"/>
  <c r="R20" i="1" a="1"/>
  <c r="S20" i="1" a="1"/>
  <c r="Q25" i="1" a="1"/>
  <c r="U20" i="1" a="1"/>
  <c r="R25" i="1" a="1"/>
  <c r="Q21" i="1" a="1"/>
  <c r="T23" i="1" a="1"/>
  <c r="R22" i="1" a="1"/>
  <c r="T24" i="1" a="1"/>
  <c r="T22" i="1" a="1"/>
  <c r="U22" i="1" a="1"/>
  <c r="Q23" i="1" a="1"/>
  <c r="R23" i="1" a="1"/>
  <c r="R19" i="1" a="1"/>
  <c r="S24" i="1" a="1"/>
  <c r="S22" i="1" a="1"/>
  <c r="U24" i="1" a="1"/>
  <c r="T20" i="1" a="1"/>
  <c r="S25" i="1" a="1"/>
  <c r="P20" i="1" a="1"/>
  <c r="P21" i="1" a="1"/>
  <c r="P22" i="1" a="1"/>
  <c r="P23" i="1" a="1"/>
  <c r="P24" i="1" a="1"/>
  <c r="P25" i="1" a="1"/>
  <c r="P19" i="1" a="1"/>
  <c r="O21" i="1" a="1"/>
  <c r="O22" i="1" a="1"/>
  <c r="O23" i="1" a="1"/>
  <c r="O24" i="1" a="1"/>
  <c r="O25" i="1" a="1"/>
  <c r="O20" i="1" l="1"/>
  <c r="S25" i="1"/>
  <c r="T20" i="1"/>
  <c r="U24" i="1"/>
  <c r="S22" i="1"/>
  <c r="S24" i="1"/>
  <c r="R19" i="1"/>
  <c r="R23" i="1"/>
  <c r="Q23" i="1"/>
  <c r="U22" i="1"/>
  <c r="T22" i="1"/>
  <c r="T24" i="1"/>
  <c r="R22" i="1"/>
  <c r="T23" i="1"/>
  <c r="Q21" i="1"/>
  <c r="R25" i="1"/>
  <c r="U20" i="1"/>
  <c r="Q25" i="1"/>
  <c r="S20" i="1"/>
  <c r="R20" i="1"/>
  <c r="Q20" i="1"/>
  <c r="R24" i="1"/>
  <c r="Q22" i="1"/>
  <c r="U19" i="1"/>
  <c r="Q24" i="1"/>
  <c r="U21" i="1"/>
  <c r="T19" i="1"/>
  <c r="U23" i="1"/>
  <c r="T21" i="1"/>
  <c r="S19" i="1"/>
  <c r="S21" i="1"/>
  <c r="T25" i="1"/>
  <c r="S23" i="1"/>
  <c r="R21" i="1"/>
  <c r="Q19" i="1"/>
  <c r="P25" i="1"/>
  <c r="P24" i="1"/>
  <c r="P23" i="1"/>
  <c r="P22" i="1"/>
  <c r="P21" i="1"/>
  <c r="P20" i="1"/>
  <c r="P19" i="1"/>
  <c r="O25" i="1"/>
  <c r="O24" i="1"/>
  <c r="O23" i="1"/>
  <c r="O22" i="1"/>
  <c r="O21" i="1"/>
  <c r="N19" i="1" l="1"/>
  <c r="N20" i="1"/>
  <c r="N21" i="1"/>
  <c r="N22" i="1"/>
  <c r="N23" i="1"/>
  <c r="N24" i="1"/>
  <c r="N25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A6" i="1" l="1"/>
  <c r="AA7" i="1" l="1"/>
  <c r="H3" i="1"/>
  <c r="H2" i="1"/>
  <c r="AK6" i="1" s="1"/>
  <c r="P6" i="1"/>
  <c r="P7" i="1" s="1"/>
  <c r="N13" i="1"/>
  <c r="L12" i="1"/>
  <c r="T6" i="1" s="1"/>
  <c r="L13" i="1"/>
  <c r="U6" i="1" s="1"/>
  <c r="L11" i="1"/>
  <c r="S6" i="1" s="1"/>
  <c r="L9" i="1"/>
  <c r="Q6" i="1" s="1"/>
  <c r="L10" i="1"/>
  <c r="R6" i="1" s="1"/>
  <c r="L8" i="1"/>
  <c r="K12" i="1"/>
  <c r="N12" i="1" s="1"/>
  <c r="K13" i="1"/>
  <c r="K11" i="1"/>
  <c r="N11" i="1" s="1"/>
  <c r="K9" i="1"/>
  <c r="N9" i="1" s="1"/>
  <c r="K10" i="1"/>
  <c r="N10" i="1" s="1"/>
  <c r="K8" i="1"/>
  <c r="N8" i="1" s="1"/>
  <c r="L7" i="1"/>
  <c r="O6" i="1" s="1"/>
  <c r="K7" i="1"/>
  <c r="N7" i="1" s="1"/>
  <c r="C8" i="1"/>
  <c r="D8" i="1" s="1"/>
  <c r="F8" i="1" s="1"/>
  <c r="C9" i="1"/>
  <c r="D9" i="1" s="1"/>
  <c r="F9" i="1" s="1"/>
  <c r="C10" i="1"/>
  <c r="D10" i="1" s="1"/>
  <c r="F10" i="1" s="1"/>
  <c r="C11" i="1"/>
  <c r="C12" i="1"/>
  <c r="D12" i="1" s="1"/>
  <c r="F12" i="1" s="1"/>
  <c r="C13" i="1"/>
  <c r="D13" i="1" s="1"/>
  <c r="F13" i="1" s="1"/>
  <c r="C14" i="1"/>
  <c r="D14" i="1" s="1"/>
  <c r="F14" i="1" s="1"/>
  <c r="C15" i="1"/>
  <c r="D15" i="1" s="1"/>
  <c r="F15" i="1" s="1"/>
  <c r="C16" i="1"/>
  <c r="D16" i="1" s="1"/>
  <c r="F16" i="1" s="1"/>
  <c r="C17" i="1"/>
  <c r="D17" i="1" s="1"/>
  <c r="F17" i="1" s="1"/>
  <c r="C18" i="1"/>
  <c r="D18" i="1" s="1"/>
  <c r="F18" i="1" s="1"/>
  <c r="C19" i="1"/>
  <c r="D19" i="1" s="1"/>
  <c r="F19" i="1" s="1"/>
  <c r="C20" i="1"/>
  <c r="D20" i="1" s="1"/>
  <c r="F20" i="1" s="1"/>
  <c r="C21" i="1"/>
  <c r="D21" i="1" s="1"/>
  <c r="F21" i="1" s="1"/>
  <c r="C22" i="1"/>
  <c r="D22" i="1" s="1"/>
  <c r="F22" i="1" s="1"/>
  <c r="C23" i="1"/>
  <c r="D23" i="1" s="1"/>
  <c r="F23" i="1" s="1"/>
  <c r="C24" i="1"/>
  <c r="C25" i="1"/>
  <c r="D25" i="1" s="1"/>
  <c r="F25" i="1" s="1"/>
  <c r="C26" i="1"/>
  <c r="C27" i="1"/>
  <c r="D27" i="1" s="1"/>
  <c r="F27" i="1" s="1"/>
  <c r="C28" i="1"/>
  <c r="D28" i="1" s="1"/>
  <c r="F28" i="1" s="1"/>
  <c r="C29" i="1"/>
  <c r="E29" i="1" s="1"/>
  <c r="C30" i="1"/>
  <c r="D30" i="1" s="1"/>
  <c r="F30" i="1" s="1"/>
  <c r="C31" i="1"/>
  <c r="D31" i="1" s="1"/>
  <c r="F31" i="1" s="1"/>
  <c r="C32" i="1"/>
  <c r="C33" i="1"/>
  <c r="C34" i="1"/>
  <c r="D34" i="1" s="1"/>
  <c r="F34" i="1" s="1"/>
  <c r="C35" i="1"/>
  <c r="C36" i="1"/>
  <c r="D36" i="1" s="1"/>
  <c r="F36" i="1" s="1"/>
  <c r="C37" i="1"/>
  <c r="D37" i="1" s="1"/>
  <c r="F37" i="1" s="1"/>
  <c r="C38" i="1"/>
  <c r="D38" i="1" s="1"/>
  <c r="F38" i="1" s="1"/>
  <c r="C39" i="1"/>
  <c r="E39" i="1" s="1"/>
  <c r="C40" i="1"/>
  <c r="D40" i="1" s="1"/>
  <c r="F40" i="1" s="1"/>
  <c r="C41" i="1"/>
  <c r="D41" i="1" s="1"/>
  <c r="F41" i="1" s="1"/>
  <c r="C42" i="1"/>
  <c r="E42" i="1" s="1"/>
  <c r="C43" i="1"/>
  <c r="C44" i="1"/>
  <c r="D44" i="1" s="1"/>
  <c r="F44" i="1" s="1"/>
  <c r="C45" i="1"/>
  <c r="D45" i="1" s="1"/>
  <c r="F45" i="1" s="1"/>
  <c r="C46" i="1"/>
  <c r="D46" i="1" s="1"/>
  <c r="F46" i="1" s="1"/>
  <c r="C47" i="1"/>
  <c r="D47" i="1" s="1"/>
  <c r="F47" i="1" s="1"/>
  <c r="C48" i="1"/>
  <c r="D48" i="1" s="1"/>
  <c r="F48" i="1" s="1"/>
  <c r="C49" i="1"/>
  <c r="D49" i="1" s="1"/>
  <c r="F49" i="1" s="1"/>
  <c r="C50" i="1"/>
  <c r="C51" i="1"/>
  <c r="C52" i="1"/>
  <c r="D52" i="1" s="1"/>
  <c r="F52" i="1" s="1"/>
  <c r="C53" i="1"/>
  <c r="D53" i="1" s="1"/>
  <c r="F53" i="1" s="1"/>
  <c r="C54" i="1"/>
  <c r="C55" i="1"/>
  <c r="D55" i="1" s="1"/>
  <c r="F55" i="1" s="1"/>
  <c r="C56" i="1"/>
  <c r="D56" i="1" s="1"/>
  <c r="F56" i="1" s="1"/>
  <c r="C57" i="1"/>
  <c r="D57" i="1" s="1"/>
  <c r="F57" i="1" s="1"/>
  <c r="C58" i="1"/>
  <c r="C59" i="1"/>
  <c r="D59" i="1" s="1"/>
  <c r="F59" i="1" s="1"/>
  <c r="C60" i="1"/>
  <c r="D60" i="1" s="1"/>
  <c r="F60" i="1" s="1"/>
  <c r="C61" i="1"/>
  <c r="D61" i="1" s="1"/>
  <c r="F61" i="1" s="1"/>
  <c r="C62" i="1"/>
  <c r="C63" i="1"/>
  <c r="D63" i="1" s="1"/>
  <c r="F63" i="1" s="1"/>
  <c r="C64" i="1"/>
  <c r="D64" i="1" s="1"/>
  <c r="F64" i="1" s="1"/>
  <c r="C65" i="1"/>
  <c r="C66" i="1"/>
  <c r="D66" i="1" s="1"/>
  <c r="F66" i="1" s="1"/>
  <c r="C67" i="1"/>
  <c r="D67" i="1" s="1"/>
  <c r="F67" i="1" s="1"/>
  <c r="C68" i="1"/>
  <c r="D68" i="1" s="1"/>
  <c r="F68" i="1" s="1"/>
  <c r="C69" i="1"/>
  <c r="D69" i="1" s="1"/>
  <c r="F69" i="1" s="1"/>
  <c r="C70" i="1"/>
  <c r="C71" i="1"/>
  <c r="D71" i="1" s="1"/>
  <c r="F71" i="1" s="1"/>
  <c r="C72" i="1"/>
  <c r="D72" i="1" s="1"/>
  <c r="F72" i="1" s="1"/>
  <c r="C73" i="1"/>
  <c r="D73" i="1" s="1"/>
  <c r="F73" i="1" s="1"/>
  <c r="C74" i="1"/>
  <c r="C75" i="1"/>
  <c r="D75" i="1" s="1"/>
  <c r="F75" i="1" s="1"/>
  <c r="C76" i="1"/>
  <c r="D76" i="1" s="1"/>
  <c r="F76" i="1" s="1"/>
  <c r="C77" i="1"/>
  <c r="E77" i="1" s="1"/>
  <c r="C78" i="1"/>
  <c r="D78" i="1" s="1"/>
  <c r="F78" i="1" s="1"/>
  <c r="C79" i="1"/>
  <c r="D79" i="1" s="1"/>
  <c r="F79" i="1" s="1"/>
  <c r="C80" i="1"/>
  <c r="D80" i="1" s="1"/>
  <c r="F80" i="1" s="1"/>
  <c r="C81" i="1"/>
  <c r="D81" i="1" s="1"/>
  <c r="F81" i="1" s="1"/>
  <c r="C82" i="1"/>
  <c r="C83" i="1"/>
  <c r="C84" i="1"/>
  <c r="C85" i="1"/>
  <c r="D85" i="1" s="1"/>
  <c r="F85" i="1" s="1"/>
  <c r="C86" i="1"/>
  <c r="D86" i="1" s="1"/>
  <c r="F86" i="1" s="1"/>
  <c r="C87" i="1"/>
  <c r="D87" i="1" s="1"/>
  <c r="F87" i="1" s="1"/>
  <c r="C88" i="1"/>
  <c r="D88" i="1" s="1"/>
  <c r="F88" i="1" s="1"/>
  <c r="C89" i="1"/>
  <c r="E89" i="1" s="1"/>
  <c r="C90" i="1"/>
  <c r="C91" i="1"/>
  <c r="D91" i="1" s="1"/>
  <c r="F91" i="1" s="1"/>
  <c r="C92" i="1"/>
  <c r="D92" i="1" s="1"/>
  <c r="F92" i="1" s="1"/>
  <c r="C93" i="1"/>
  <c r="D93" i="1" s="1"/>
  <c r="F93" i="1" s="1"/>
  <c r="C94" i="1"/>
  <c r="C95" i="1"/>
  <c r="D95" i="1" s="1"/>
  <c r="F95" i="1" s="1"/>
  <c r="C96" i="1"/>
  <c r="D96" i="1" s="1"/>
  <c r="F96" i="1" s="1"/>
  <c r="C97" i="1"/>
  <c r="D97" i="1" s="1"/>
  <c r="F97" i="1" s="1"/>
  <c r="C98" i="1"/>
  <c r="D98" i="1" s="1"/>
  <c r="F98" i="1" s="1"/>
  <c r="C99" i="1"/>
  <c r="C100" i="1"/>
  <c r="D100" i="1" s="1"/>
  <c r="F100" i="1" s="1"/>
  <c r="C101" i="1"/>
  <c r="D101" i="1" s="1"/>
  <c r="F101" i="1" s="1"/>
  <c r="C102" i="1"/>
  <c r="C103" i="1"/>
  <c r="D103" i="1" s="1"/>
  <c r="F103" i="1" s="1"/>
  <c r="C104" i="1"/>
  <c r="C105" i="1"/>
  <c r="C106" i="1"/>
  <c r="D106" i="1" s="1"/>
  <c r="F106" i="1" s="1"/>
  <c r="C7" i="1"/>
  <c r="D7" i="1" s="1"/>
  <c r="F7" i="1" s="1"/>
  <c r="R11" i="1" l="1"/>
  <c r="R8" i="1"/>
  <c r="R12" i="1"/>
  <c r="P13" i="1"/>
  <c r="AK7" i="1"/>
  <c r="AA8" i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P12" i="1"/>
  <c r="P9" i="1"/>
  <c r="O9" i="1"/>
  <c r="Q8" i="1"/>
  <c r="Q7" i="1"/>
  <c r="Q12" i="1"/>
  <c r="Q9" i="1"/>
  <c r="Q11" i="1"/>
  <c r="S10" i="1"/>
  <c r="S8" i="1"/>
  <c r="S12" i="1"/>
  <c r="S7" i="1"/>
  <c r="S11" i="1"/>
  <c r="U10" i="1"/>
  <c r="U8" i="1"/>
  <c r="U12" i="1"/>
  <c r="U13" i="1"/>
  <c r="U7" i="1"/>
  <c r="U11" i="1"/>
  <c r="T12" i="1"/>
  <c r="T8" i="1"/>
  <c r="T13" i="1"/>
  <c r="T10" i="1"/>
  <c r="T7" i="1"/>
  <c r="T11" i="1"/>
  <c r="P8" i="1"/>
  <c r="O8" i="1"/>
  <c r="O13" i="1"/>
  <c r="P11" i="1"/>
  <c r="R7" i="1"/>
  <c r="O12" i="1"/>
  <c r="O11" i="1"/>
  <c r="O10" i="1"/>
  <c r="P10" i="1"/>
  <c r="S13" i="1"/>
  <c r="U9" i="1"/>
  <c r="R10" i="1"/>
  <c r="Q10" i="1"/>
  <c r="R13" i="1"/>
  <c r="T9" i="1"/>
  <c r="Q13" i="1"/>
  <c r="S9" i="1"/>
  <c r="R9" i="1"/>
  <c r="D89" i="1"/>
  <c r="F89" i="1" s="1"/>
  <c r="G89" i="1" s="1"/>
  <c r="D29" i="1"/>
  <c r="F29" i="1" s="1"/>
  <c r="G29" i="1" s="1"/>
  <c r="D77" i="1"/>
  <c r="F77" i="1" s="1"/>
  <c r="G77" i="1" s="1"/>
  <c r="E100" i="1"/>
  <c r="G100" i="1" s="1"/>
  <c r="E86" i="1"/>
  <c r="G86" i="1" s="1"/>
  <c r="E85" i="1"/>
  <c r="G85" i="1" s="1"/>
  <c r="E87" i="1"/>
  <c r="G87" i="1" s="1"/>
  <c r="E81" i="1"/>
  <c r="G81" i="1" s="1"/>
  <c r="E60" i="1"/>
  <c r="G60" i="1" s="1"/>
  <c r="E59" i="1"/>
  <c r="G59" i="1" s="1"/>
  <c r="E45" i="1"/>
  <c r="G45" i="1" s="1"/>
  <c r="E22" i="1"/>
  <c r="G22" i="1" s="1"/>
  <c r="D42" i="1"/>
  <c r="F42" i="1" s="1"/>
  <c r="G42" i="1" s="1"/>
  <c r="E44" i="1"/>
  <c r="G44" i="1" s="1"/>
  <c r="E38" i="1"/>
  <c r="G38" i="1" s="1"/>
  <c r="E88" i="1"/>
  <c r="G88" i="1" s="1"/>
  <c r="E37" i="1"/>
  <c r="G37" i="1" s="1"/>
  <c r="E21" i="1"/>
  <c r="G21" i="1" s="1"/>
  <c r="E20" i="1"/>
  <c r="G20" i="1" s="1"/>
  <c r="E67" i="1"/>
  <c r="G67" i="1" s="1"/>
  <c r="E19" i="1"/>
  <c r="G19" i="1" s="1"/>
  <c r="E66" i="1"/>
  <c r="G66" i="1" s="1"/>
  <c r="E13" i="1"/>
  <c r="G13" i="1" s="1"/>
  <c r="E64" i="1"/>
  <c r="G64" i="1" s="1"/>
  <c r="E63" i="1"/>
  <c r="G63" i="1" s="1"/>
  <c r="E41" i="1"/>
  <c r="G41" i="1" s="1"/>
  <c r="E56" i="1"/>
  <c r="G56" i="1" s="1"/>
  <c r="E17" i="1"/>
  <c r="G17" i="1" s="1"/>
  <c r="E79" i="1"/>
  <c r="G79" i="1" s="1"/>
  <c r="E36" i="1"/>
  <c r="G36" i="1" s="1"/>
  <c r="E16" i="1"/>
  <c r="G16" i="1" s="1"/>
  <c r="E76" i="1"/>
  <c r="G76" i="1" s="1"/>
  <c r="E55" i="1"/>
  <c r="G55" i="1" s="1"/>
  <c r="E34" i="1"/>
  <c r="G34" i="1" s="1"/>
  <c r="E95" i="1"/>
  <c r="G95" i="1" s="1"/>
  <c r="E93" i="1"/>
  <c r="G93" i="1" s="1"/>
  <c r="E73" i="1"/>
  <c r="G73" i="1" s="1"/>
  <c r="E49" i="1"/>
  <c r="G49" i="1" s="1"/>
  <c r="E12" i="1"/>
  <c r="G12" i="1" s="1"/>
  <c r="E92" i="1"/>
  <c r="G92" i="1" s="1"/>
  <c r="E72" i="1"/>
  <c r="G72" i="1" s="1"/>
  <c r="E28" i="1"/>
  <c r="G28" i="1" s="1"/>
  <c r="E10" i="1"/>
  <c r="G10" i="1" s="1"/>
  <c r="E91" i="1"/>
  <c r="G91" i="1" s="1"/>
  <c r="E69" i="1"/>
  <c r="G69" i="1" s="1"/>
  <c r="E48" i="1"/>
  <c r="G48" i="1" s="1"/>
  <c r="E27" i="1"/>
  <c r="G27" i="1" s="1"/>
  <c r="D39" i="1"/>
  <c r="F39" i="1" s="1"/>
  <c r="G39" i="1" s="1"/>
  <c r="E47" i="1"/>
  <c r="G47" i="1" s="1"/>
  <c r="D99" i="1"/>
  <c r="F99" i="1" s="1"/>
  <c r="E99" i="1"/>
  <c r="D58" i="1"/>
  <c r="F58" i="1" s="1"/>
  <c r="E58" i="1"/>
  <c r="D54" i="1"/>
  <c r="F54" i="1" s="1"/>
  <c r="E54" i="1"/>
  <c r="D35" i="1"/>
  <c r="F35" i="1" s="1"/>
  <c r="E35" i="1"/>
  <c r="D94" i="1"/>
  <c r="F94" i="1" s="1"/>
  <c r="E94" i="1"/>
  <c r="D74" i="1"/>
  <c r="F74" i="1" s="1"/>
  <c r="E74" i="1"/>
  <c r="D33" i="1"/>
  <c r="F33" i="1" s="1"/>
  <c r="E33" i="1"/>
  <c r="E78" i="1"/>
  <c r="G78" i="1" s="1"/>
  <c r="D51" i="1"/>
  <c r="F51" i="1" s="1"/>
  <c r="E51" i="1"/>
  <c r="D32" i="1"/>
  <c r="F32" i="1" s="1"/>
  <c r="E32" i="1"/>
  <c r="D11" i="1"/>
  <c r="F11" i="1" s="1"/>
  <c r="E11" i="1"/>
  <c r="D50" i="1"/>
  <c r="F50" i="1" s="1"/>
  <c r="E50" i="1"/>
  <c r="E15" i="1"/>
  <c r="G15" i="1" s="1"/>
  <c r="D90" i="1"/>
  <c r="F90" i="1" s="1"/>
  <c r="E90" i="1"/>
  <c r="D70" i="1"/>
  <c r="F70" i="1" s="1"/>
  <c r="E70" i="1"/>
  <c r="D26" i="1"/>
  <c r="F26" i="1" s="1"/>
  <c r="E26" i="1"/>
  <c r="D65" i="1"/>
  <c r="F65" i="1" s="1"/>
  <c r="E65" i="1"/>
  <c r="D43" i="1"/>
  <c r="F43" i="1" s="1"/>
  <c r="E43" i="1"/>
  <c r="E103" i="1"/>
  <c r="G103" i="1" s="1"/>
  <c r="E25" i="1"/>
  <c r="G25" i="1" s="1"/>
  <c r="D105" i="1"/>
  <c r="F105" i="1" s="1"/>
  <c r="E105" i="1"/>
  <c r="D84" i="1"/>
  <c r="F84" i="1" s="1"/>
  <c r="E84" i="1"/>
  <c r="D24" i="1"/>
  <c r="F24" i="1" s="1"/>
  <c r="E24" i="1"/>
  <c r="E71" i="1"/>
  <c r="G71" i="1" s="1"/>
  <c r="D104" i="1"/>
  <c r="F104" i="1" s="1"/>
  <c r="E104" i="1"/>
  <c r="D83" i="1"/>
  <c r="F83" i="1" s="1"/>
  <c r="E83" i="1"/>
  <c r="D82" i="1"/>
  <c r="F82" i="1" s="1"/>
  <c r="E82" i="1"/>
  <c r="D62" i="1"/>
  <c r="F62" i="1" s="1"/>
  <c r="E62" i="1"/>
  <c r="D102" i="1"/>
  <c r="F102" i="1" s="1"/>
  <c r="E102" i="1"/>
  <c r="E80" i="1"/>
  <c r="G80" i="1" s="1"/>
  <c r="E14" i="1"/>
  <c r="G14" i="1" s="1"/>
  <c r="E101" i="1"/>
  <c r="G101" i="1" s="1"/>
  <c r="E57" i="1"/>
  <c r="G57" i="1" s="1"/>
  <c r="E106" i="1"/>
  <c r="G106" i="1" s="1"/>
  <c r="E40" i="1"/>
  <c r="G40" i="1" s="1"/>
  <c r="E18" i="1"/>
  <c r="G18" i="1" s="1"/>
  <c r="E61" i="1"/>
  <c r="G61" i="1" s="1"/>
  <c r="E68" i="1"/>
  <c r="G68" i="1" s="1"/>
  <c r="E46" i="1"/>
  <c r="G46" i="1" s="1"/>
  <c r="E98" i="1"/>
  <c r="G98" i="1" s="1"/>
  <c r="E97" i="1"/>
  <c r="G97" i="1" s="1"/>
  <c r="E75" i="1"/>
  <c r="G75" i="1" s="1"/>
  <c r="E53" i="1"/>
  <c r="G53" i="1" s="1"/>
  <c r="E31" i="1"/>
  <c r="G31" i="1" s="1"/>
  <c r="E9" i="1"/>
  <c r="G9" i="1" s="1"/>
  <c r="E23" i="1"/>
  <c r="G23" i="1" s="1"/>
  <c r="E96" i="1"/>
  <c r="G96" i="1" s="1"/>
  <c r="E52" i="1"/>
  <c r="G52" i="1" s="1"/>
  <c r="E30" i="1"/>
  <c r="G30" i="1" s="1"/>
  <c r="E8" i="1"/>
  <c r="G8" i="1" s="1"/>
  <c r="E7" i="1"/>
  <c r="G7" i="1" l="1"/>
  <c r="G82" i="1"/>
  <c r="G58" i="1"/>
  <c r="G43" i="1"/>
  <c r="G104" i="1"/>
  <c r="G83" i="1"/>
  <c r="G24" i="1"/>
  <c r="G70" i="1"/>
  <c r="G65" i="1"/>
  <c r="G32" i="1"/>
  <c r="G26" i="1"/>
  <c r="G102" i="1"/>
  <c r="G54" i="1"/>
  <c r="G62" i="1"/>
  <c r="G84" i="1"/>
  <c r="G50" i="1"/>
  <c r="G74" i="1"/>
  <c r="G99" i="1"/>
  <c r="G105" i="1"/>
  <c r="G94" i="1"/>
  <c r="G11" i="1"/>
  <c r="G51" i="1"/>
  <c r="G35" i="1"/>
  <c r="G90" i="1"/>
  <c r="G33" i="1"/>
  <c r="O7" i="1" l="1"/>
  <c r="AB25" i="1" a="1"/>
  <c r="AB6" i="1" a="1"/>
  <c r="AB18" i="1" a="1"/>
  <c r="AB17" i="1" a="1"/>
  <c r="AB14" i="1" a="1"/>
  <c r="AB13" i="1" a="1"/>
  <c r="AB12" i="1" a="1"/>
  <c r="AB22" i="1" a="1"/>
  <c r="AB21" i="1" a="1"/>
  <c r="AB10" i="1" a="1"/>
  <c r="AB7" i="1" a="1"/>
  <c r="AB16" i="1" a="1"/>
  <c r="AB23" i="1" a="1"/>
  <c r="AB20" i="1" a="1"/>
  <c r="AB9" i="1" a="1"/>
  <c r="AB15" i="1" a="1"/>
  <c r="AB24" i="1" a="1"/>
  <c r="AB11" i="1" a="1"/>
  <c r="AB19" i="1" a="1"/>
  <c r="AB8" i="1" a="1"/>
  <c r="AB8" i="1" l="1"/>
  <c r="AB19" i="1"/>
  <c r="AB11" i="1"/>
  <c r="AB24" i="1"/>
  <c r="AB15" i="1"/>
  <c r="AB9" i="1"/>
  <c r="AB20" i="1"/>
  <c r="AB23" i="1"/>
  <c r="AB16" i="1"/>
  <c r="AB7" i="1"/>
  <c r="AB10" i="1"/>
  <c r="AB21" i="1"/>
  <c r="AB22" i="1"/>
  <c r="AB12" i="1"/>
  <c r="AB13" i="1"/>
  <c r="AB14" i="1"/>
  <c r="AB17" i="1"/>
  <c r="AB18" i="1"/>
  <c r="AB6" i="1"/>
  <c r="AB25" i="1"/>
  <c r="AC6" i="1" a="1"/>
  <c r="AC7" i="1" a="1"/>
  <c r="AC19" i="1" a="1"/>
  <c r="AC17" i="1" a="1"/>
  <c r="AC15" i="1" a="1"/>
  <c r="AC14" i="1" a="1"/>
  <c r="AC13" i="1" a="1"/>
  <c r="AC23" i="1" a="1"/>
  <c r="AC22" i="1" a="1"/>
  <c r="AC21" i="1" a="1"/>
  <c r="AC10" i="1" a="1"/>
  <c r="AC18" i="1" a="1"/>
  <c r="AC16" i="1" a="1"/>
  <c r="AC25" i="1" a="1"/>
  <c r="AC24" i="1" a="1"/>
  <c r="AC12" i="1" a="1"/>
  <c r="AC11" i="1" a="1"/>
  <c r="AC20" i="1" a="1"/>
  <c r="AC9" i="1" a="1"/>
  <c r="AC8" i="1" a="1"/>
  <c r="AC8" i="1" l="1"/>
  <c r="AC9" i="1"/>
  <c r="AC20" i="1"/>
  <c r="AC11" i="1"/>
  <c r="AC12" i="1"/>
  <c r="AC24" i="1"/>
  <c r="AC25" i="1"/>
  <c r="AC16" i="1"/>
  <c r="AC18" i="1"/>
  <c r="AC10" i="1"/>
  <c r="AC21" i="1"/>
  <c r="AC22" i="1"/>
  <c r="AC23" i="1"/>
  <c r="AC13" i="1"/>
  <c r="AC14" i="1"/>
  <c r="AC15" i="1"/>
  <c r="AC17" i="1"/>
  <c r="AC19" i="1"/>
  <c r="AC7" i="1"/>
  <c r="AC6" i="1"/>
  <c r="AD9" i="1" a="1"/>
  <c r="AD20" i="1" a="1"/>
  <c r="AD10" i="1" a="1"/>
  <c r="AD21" i="1" a="1"/>
  <c r="AD11" i="1" a="1"/>
  <c r="AD22" i="1" a="1"/>
  <c r="AD12" i="1" a="1"/>
  <c r="AD23" i="1" a="1"/>
  <c r="AD13" i="1" a="1"/>
  <c r="AD24" i="1" a="1"/>
  <c r="AD14" i="1" a="1"/>
  <c r="AD25" i="1" a="1"/>
  <c r="AD15" i="1" a="1"/>
  <c r="AD16" i="1" a="1"/>
  <c r="AD17" i="1" a="1"/>
  <c r="AD7" i="1" a="1"/>
  <c r="AD18" i="1" a="1"/>
  <c r="AD8" i="1" a="1"/>
  <c r="AD19" i="1" a="1"/>
  <c r="AD6" i="1" a="1"/>
  <c r="AD6" i="1" l="1"/>
  <c r="AD19" i="1"/>
  <c r="AD8" i="1"/>
  <c r="AD18" i="1"/>
  <c r="AD7" i="1"/>
  <c r="AD17" i="1"/>
  <c r="AD16" i="1"/>
  <c r="AD15" i="1"/>
  <c r="AD25" i="1"/>
  <c r="AD14" i="1"/>
  <c r="AD24" i="1"/>
  <c r="AD13" i="1"/>
  <c r="AD23" i="1"/>
  <c r="AD12" i="1"/>
  <c r="AD22" i="1"/>
  <c r="AD11" i="1"/>
  <c r="AD21" i="1"/>
  <c r="AD10" i="1"/>
  <c r="AD20" i="1"/>
  <c r="AD9" i="1"/>
  <c r="AE7" i="1" a="1"/>
  <c r="AE18" i="1" a="1"/>
  <c r="AE19" i="1" a="1"/>
  <c r="AE9" i="1" a="1"/>
  <c r="AE20" i="1" a="1"/>
  <c r="AE10" i="1" a="1"/>
  <c r="AE21" i="1" a="1"/>
  <c r="AE11" i="1" a="1"/>
  <c r="AE22" i="1" a="1"/>
  <c r="AE12" i="1" a="1"/>
  <c r="AE23" i="1" a="1"/>
  <c r="AE13" i="1" a="1"/>
  <c r="AE24" i="1" a="1"/>
  <c r="AE14" i="1" a="1"/>
  <c r="AE25" i="1" a="1"/>
  <c r="AE15" i="1" a="1"/>
  <c r="AE8" i="1" a="1"/>
  <c r="AE16" i="1" a="1"/>
  <c r="AE17" i="1" a="1"/>
  <c r="AE6" i="1" a="1"/>
  <c r="AE6" i="1" l="1"/>
  <c r="AE17" i="1"/>
  <c r="AE16" i="1"/>
  <c r="AE8" i="1"/>
  <c r="AE15" i="1"/>
  <c r="AE25" i="1"/>
  <c r="AE14" i="1"/>
  <c r="AE24" i="1"/>
  <c r="AE13" i="1"/>
  <c r="AE23" i="1"/>
  <c r="AE12" i="1"/>
  <c r="AE22" i="1"/>
  <c r="AE11" i="1"/>
  <c r="AE21" i="1"/>
  <c r="AE10" i="1"/>
  <c r="AE20" i="1"/>
  <c r="AE9" i="1"/>
  <c r="AE19" i="1"/>
  <c r="AE18" i="1"/>
  <c r="AE7" i="1"/>
  <c r="AF6" i="1" a="1"/>
  <c r="AF17" i="1" a="1"/>
  <c r="AF15" i="1" a="1"/>
  <c r="AF14" i="1" a="1"/>
  <c r="AF13" i="1" a="1"/>
  <c r="AF23" i="1" a="1"/>
  <c r="AF22" i="1" a="1"/>
  <c r="AF21" i="1" a="1"/>
  <c r="AF8" i="1" a="1"/>
  <c r="AF16" i="1" a="1"/>
  <c r="AF25" i="1" a="1"/>
  <c r="AF24" i="1" a="1"/>
  <c r="AF12" i="1" a="1"/>
  <c r="AF11" i="1" a="1"/>
  <c r="AF10" i="1" a="1"/>
  <c r="AF20" i="1" a="1"/>
  <c r="AF9" i="1" a="1"/>
  <c r="AF19" i="1" a="1"/>
  <c r="AF18" i="1" a="1"/>
  <c r="AF7" i="1" a="1"/>
  <c r="AF7" i="1" l="1"/>
  <c r="AF18" i="1"/>
  <c r="AF19" i="1"/>
  <c r="AF9" i="1"/>
  <c r="AF20" i="1"/>
  <c r="AF10" i="1"/>
  <c r="AF11" i="1"/>
  <c r="AF12" i="1"/>
  <c r="AF24" i="1"/>
  <c r="AF25" i="1"/>
  <c r="AF16" i="1"/>
  <c r="AF8" i="1"/>
  <c r="AF21" i="1"/>
  <c r="AF22" i="1"/>
  <c r="AF23" i="1"/>
  <c r="AF13" i="1"/>
  <c r="AF14" i="1"/>
  <c r="AF15" i="1"/>
  <c r="AF17" i="1"/>
  <c r="AF6" i="1"/>
  <c r="AG6" i="1" a="1"/>
  <c r="AG25" i="1" a="1"/>
  <c r="AG17" i="1" a="1"/>
  <c r="AG16" i="1" a="1"/>
  <c r="AG15" i="1" a="1"/>
  <c r="AG14" i="1" a="1"/>
  <c r="AG24" i="1" a="1"/>
  <c r="AG13" i="1" a="1"/>
  <c r="AG23" i="1" a="1"/>
  <c r="AG12" i="1" a="1"/>
  <c r="AG22" i="1" a="1"/>
  <c r="AG11" i="1" a="1"/>
  <c r="AG21" i="1" a="1"/>
  <c r="AG10" i="1" a="1"/>
  <c r="AG20" i="1" a="1"/>
  <c r="AG9" i="1" a="1"/>
  <c r="AG19" i="1" a="1"/>
  <c r="AG8" i="1" a="1"/>
  <c r="AG18" i="1" a="1"/>
  <c r="AG7" i="1" a="1"/>
  <c r="AG7" i="1" l="1"/>
  <c r="AG18" i="1"/>
  <c r="AG8" i="1"/>
  <c r="AG19" i="1"/>
  <c r="AG9" i="1"/>
  <c r="AG20" i="1"/>
  <c r="AG10" i="1"/>
  <c r="AG21" i="1"/>
  <c r="AG11" i="1"/>
  <c r="AG22" i="1"/>
  <c r="AG12" i="1"/>
  <c r="AG23" i="1"/>
  <c r="AG13" i="1"/>
  <c r="AG24" i="1"/>
  <c r="AG14" i="1"/>
  <c r="AG15" i="1"/>
  <c r="AG16" i="1"/>
  <c r="AG17" i="1"/>
  <c r="AG25" i="1"/>
  <c r="AG6" i="1"/>
  <c r="AH7" i="1" a="1"/>
  <c r="AH18" i="1" a="1"/>
  <c r="AH8" i="1" a="1"/>
  <c r="AH19" i="1" a="1"/>
  <c r="AH9" i="1" a="1"/>
  <c r="AH20" i="1" a="1"/>
  <c r="AH10" i="1" a="1"/>
  <c r="AH21" i="1" a="1"/>
  <c r="AH11" i="1" a="1"/>
  <c r="AH22" i="1" a="1"/>
  <c r="AH12" i="1" a="1"/>
  <c r="AH23" i="1" a="1"/>
  <c r="AH13" i="1" a="1"/>
  <c r="AH24" i="1" a="1"/>
  <c r="AH14" i="1" a="1"/>
  <c r="AH25" i="1" a="1"/>
  <c r="AH15" i="1" a="1"/>
  <c r="AH16" i="1" a="1"/>
  <c r="AH17" i="1" a="1"/>
  <c r="AH6" i="1" a="1"/>
  <c r="AH6" i="1" l="1"/>
  <c r="AI6" i="1" s="1"/>
  <c r="AH17" i="1"/>
  <c r="AI17" i="1" s="1"/>
  <c r="AH16" i="1"/>
  <c r="AI16" i="1" s="1"/>
  <c r="AH15" i="1"/>
  <c r="AI15" i="1" s="1"/>
  <c r="AH25" i="1"/>
  <c r="AI25" i="1" s="1"/>
  <c r="AH14" i="1"/>
  <c r="AI14" i="1" s="1"/>
  <c r="AH24" i="1"/>
  <c r="AI24" i="1" s="1"/>
  <c r="AH13" i="1"/>
  <c r="AI13" i="1" s="1"/>
  <c r="AH23" i="1"/>
  <c r="AI23" i="1" s="1"/>
  <c r="AH12" i="1"/>
  <c r="AI12" i="1" s="1"/>
  <c r="AH22" i="1"/>
  <c r="AI22" i="1" s="1"/>
  <c r="AH11" i="1"/>
  <c r="AI11" i="1" s="1"/>
  <c r="AH21" i="1"/>
  <c r="AI21" i="1" s="1"/>
  <c r="AH10" i="1"/>
  <c r="AI10" i="1" s="1"/>
  <c r="AH20" i="1"/>
  <c r="AI20" i="1" s="1"/>
  <c r="AH9" i="1"/>
  <c r="AI9" i="1" s="1"/>
  <c r="AH19" i="1"/>
  <c r="AI19" i="1" s="1"/>
  <c r="AH8" i="1"/>
  <c r="AI8" i="1" s="1"/>
  <c r="AH18" i="1"/>
  <c r="AI18" i="1" s="1"/>
  <c r="AH7" i="1"/>
  <c r="AI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<sst xmlns="http://schemas.openxmlformats.org/spreadsheetml/2006/main" count="21" uniqueCount="13">
  <si>
    <t>Mu</t>
  </si>
  <si>
    <t>Sigma</t>
  </si>
  <si>
    <t>X</t>
  </si>
  <si>
    <t>Y</t>
  </si>
  <si>
    <t>X+Y</t>
  </si>
  <si>
    <t>Quantile</t>
  </si>
  <si>
    <t>Sample</t>
  </si>
  <si>
    <t>Rand 1</t>
  </si>
  <si>
    <t>Rand 2</t>
  </si>
  <si>
    <t>rho</t>
  </si>
  <si>
    <t>Bivariate Response</t>
  </si>
  <si>
    <t>Bivariate Probability P(X, Y)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</si>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</sst>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6DD9-2C01-46CC-9393-5FBE8ED8E3F3}">
  <sheetPr codeName="Sheet1"/>
  <dimension ref="B1:AK106"/>
  <sheetViews>
    <sheetView tabSelected="1" topLeftCell="C1" workbookViewId="0">
      <selection activeCell="AJ27" sqref="AJ27"/>
    </sheetView>
  </sheetViews>
  <sheetFormatPr defaultRowHeight="15" x14ac:dyDescent="0.25"/>
  <cols>
    <col min="15" max="16" width="12" bestFit="1" customWidth="1"/>
    <col min="26" max="26" width="9.140625" customWidth="1"/>
    <col min="28" max="29" width="12" bestFit="1" customWidth="1"/>
  </cols>
  <sheetData>
    <row r="1" spans="2:37" x14ac:dyDescent="0.25">
      <c r="E1" t="s">
        <v>2</v>
      </c>
      <c r="F1" t="s">
        <v>3</v>
      </c>
    </row>
    <row r="2" spans="2:37" x14ac:dyDescent="0.25">
      <c r="D2" t="s">
        <v>0</v>
      </c>
      <c r="E2">
        <v>100</v>
      </c>
      <c r="F2">
        <v>80</v>
      </c>
      <c r="H2">
        <f>E2+F2</f>
        <v>180</v>
      </c>
    </row>
    <row r="3" spans="2:37" x14ac:dyDescent="0.25">
      <c r="D3" t="s">
        <v>1</v>
      </c>
      <c r="E3">
        <v>15</v>
      </c>
      <c r="F3">
        <v>25</v>
      </c>
      <c r="H3">
        <f>SQRT(E3^2+F3^2)</f>
        <v>29.154759474226502</v>
      </c>
    </row>
    <row r="4" spans="2:37" x14ac:dyDescent="0.25">
      <c r="D4" t="s">
        <v>9</v>
      </c>
      <c r="E4">
        <v>0</v>
      </c>
      <c r="O4" t="s">
        <v>10</v>
      </c>
    </row>
    <row r="5" spans="2:37" x14ac:dyDescent="0.25">
      <c r="O5" t="s">
        <v>3</v>
      </c>
      <c r="AB5">
        <v>22</v>
      </c>
      <c r="AC5">
        <v>39</v>
      </c>
      <c r="AD5">
        <v>63</v>
      </c>
      <c r="AE5">
        <v>80</v>
      </c>
      <c r="AF5">
        <v>97</v>
      </c>
      <c r="AG5">
        <v>121</v>
      </c>
      <c r="AH5">
        <v>138</v>
      </c>
    </row>
    <row r="6" spans="2:37" x14ac:dyDescent="0.25">
      <c r="B6" t="s">
        <v>6</v>
      </c>
      <c r="C6" t="s">
        <v>7</v>
      </c>
      <c r="D6" t="s">
        <v>8</v>
      </c>
      <c r="E6" t="s">
        <v>2</v>
      </c>
      <c r="F6" t="s">
        <v>3</v>
      </c>
      <c r="G6" t="s">
        <v>4</v>
      </c>
      <c r="J6" t="s">
        <v>5</v>
      </c>
      <c r="K6" t="s">
        <v>2</v>
      </c>
      <c r="L6" t="s">
        <v>3</v>
      </c>
      <c r="N6" t="s">
        <v>2</v>
      </c>
      <c r="O6">
        <f>L7</f>
        <v>22</v>
      </c>
      <c r="P6">
        <f>L8</f>
        <v>39</v>
      </c>
      <c r="Q6">
        <f>L9</f>
        <v>63</v>
      </c>
      <c r="R6">
        <f>L10</f>
        <v>80</v>
      </c>
      <c r="S6">
        <f>L11</f>
        <v>97</v>
      </c>
      <c r="T6">
        <f>L12</f>
        <v>121</v>
      </c>
      <c r="U6">
        <f>L13</f>
        <v>138</v>
      </c>
      <c r="Z6">
        <v>1</v>
      </c>
      <c r="AA6">
        <f>87</f>
        <v>87</v>
      </c>
      <c r="AB6" t="e" cm="1">
        <f t="array" aca="1" ref="AB6" ca="1">LinInt($AA6,$O$7:$O$13,$O$19:$O$25)</f>
        <v>#NAME?</v>
      </c>
      <c r="AC6" t="e" cm="1">
        <f t="array" aca="1" ref="AC6" ca="1">LinInt($AA6,$P$7:$P$13,$P$19:$P$25)</f>
        <v>#NAME?</v>
      </c>
      <c r="AD6" t="e" cm="1">
        <f t="array" aca="1" ref="AD6" ca="1">LinInt($AA6,$Q$7:$Q$13,$Q$19:$Q$25)</f>
        <v>#NAME?</v>
      </c>
      <c r="AE6" t="e" cm="1">
        <f t="array" aca="1" ref="AE6" ca="1">LinInt($AA6,$R$7:$R$13,$R$19:$R$25)</f>
        <v>#NAME?</v>
      </c>
      <c r="AF6" t="e" cm="1">
        <f t="array" aca="1" ref="AF6" ca="1">LinInt($AA6,$S$7:$S$13,$S$19:$S$25)</f>
        <v>#NAME?</v>
      </c>
      <c r="AG6" t="e" cm="1">
        <f t="array" aca="1" ref="AG6" ca="1">LinInt($AA6,$T$7:$T$13,$T$19:$T$25)</f>
        <v>#NAME?</v>
      </c>
      <c r="AH6" t="e" cm="1">
        <f t="array" aca="1" ref="AH6" ca="1">LinInt($AA6,$U$7:$U$13,$U$19:$U$25)</f>
        <v>#NAME?</v>
      </c>
      <c r="AI6" t="e">
        <f ca="1">SUM(AB6:AH6)</f>
        <v>#NAME?</v>
      </c>
      <c r="AK6">
        <f>_xlfn.NORM.DIST(AA6,$H$2,$H$3, TRUE)</f>
        <v>7.1167495769265947E-4</v>
      </c>
    </row>
    <row r="7" spans="2:37" x14ac:dyDescent="0.25">
      <c r="B7">
        <v>1</v>
      </c>
      <c r="C7">
        <f ca="1">RAND()</f>
        <v>8.1670455051799151E-2</v>
      </c>
      <c r="D7">
        <f ca="1">NORMSDIST($E$4*NORMSINV(C7)+SQRT(1-$E$4*$E$4)*NORMSINV(RAND()))</f>
        <v>0.87889269009379578</v>
      </c>
      <c r="E7">
        <f ca="1">_xlfn.NORM.INV(C7,$E$2,$E$3)</f>
        <v>79.091157587496895</v>
      </c>
      <c r="F7">
        <f ca="1">_xlfn.NORM.INV(D7,$F$2,$F$3)</f>
        <v>109.23673146888908</v>
      </c>
      <c r="G7">
        <f ca="1">E7+F7</f>
        <v>188.32788905638597</v>
      </c>
      <c r="J7">
        <v>0.01</v>
      </c>
      <c r="K7">
        <f>ROUND(_xlfn.NORM.INV(J7,$E$2,$E$3), 0)</f>
        <v>65</v>
      </c>
      <c r="L7">
        <f>ROUND(_xlfn.NORM.INV(J7,$F$2,$F$3), 0)</f>
        <v>22</v>
      </c>
      <c r="N7">
        <f>K7</f>
        <v>65</v>
      </c>
      <c r="O7" s="1">
        <f>$K7+O$6</f>
        <v>87</v>
      </c>
      <c r="P7" s="1">
        <f t="shared" ref="P7:U8" si="0">$K7+P$6</f>
        <v>104</v>
      </c>
      <c r="Q7" s="1">
        <f t="shared" si="0"/>
        <v>128</v>
      </c>
      <c r="R7" s="1">
        <f t="shared" si="0"/>
        <v>145</v>
      </c>
      <c r="S7" s="1">
        <f t="shared" si="0"/>
        <v>162</v>
      </c>
      <c r="T7" s="1">
        <f t="shared" si="0"/>
        <v>186</v>
      </c>
      <c r="U7" s="1">
        <f t="shared" si="0"/>
        <v>203</v>
      </c>
      <c r="Z7">
        <v>2</v>
      </c>
      <c r="AA7">
        <f>AA6+(273-87)/19</f>
        <v>96.78947368421052</v>
      </c>
      <c r="AB7" t="e" cm="1">
        <f t="array" aca="1" ref="AB7" ca="1">LinInt($AA7,$O$7:$O$13,$O$19:$O$25)</f>
        <v>#NAME?</v>
      </c>
      <c r="AC7" t="e" cm="1">
        <f t="array" aca="1" ref="AC7" ca="1">LinInt($AA7,$P$7:$P$13,$P$19:$P$25)</f>
        <v>#NAME?</v>
      </c>
      <c r="AD7" t="e" cm="1">
        <f t="array" aca="1" ref="AD7" ca="1">LinInt($AA7,$Q$7:$Q$13,$Q$19:$Q$25)</f>
        <v>#NAME?</v>
      </c>
      <c r="AE7" t="e" cm="1">
        <f t="array" aca="1" ref="AE7" ca="1">LinInt($AA7,$R$7:$R$13,$R$19:$R$25)</f>
        <v>#NAME?</v>
      </c>
      <c r="AF7" t="e" cm="1">
        <f t="array" aca="1" ref="AF7" ca="1">LinInt($AA7,$S$7:$S$13,$S$19:$S$25)</f>
        <v>#NAME?</v>
      </c>
      <c r="AG7" t="e" cm="1">
        <f t="array" aca="1" ref="AG7" ca="1">LinInt($AA7,$T$7:$T$13,$T$19:$T$25)</f>
        <v>#NAME?</v>
      </c>
      <c r="AH7" t="e" cm="1">
        <f t="array" aca="1" ref="AH7" ca="1">LinInt($AA7,$U$7:$U$13,$U$19:$U$25)</f>
        <v>#NAME?</v>
      </c>
      <c r="AI7" t="e">
        <f t="shared" ref="AI7:AI25" ca="1" si="1">SUM(AB7:AH7)</f>
        <v>#NAME?</v>
      </c>
      <c r="AK7">
        <f>_xlfn.NORM.DIST(AA7,$H$2,$H$3, TRUE)</f>
        <v>2.1579641209307681E-3</v>
      </c>
    </row>
    <row r="8" spans="2:37" x14ac:dyDescent="0.25">
      <c r="B8">
        <v>2</v>
      </c>
      <c r="C8">
        <f t="shared" ref="C8:C71" ca="1" si="2">RAND()</f>
        <v>0.31223501125780828</v>
      </c>
      <c r="D8">
        <f t="shared" ref="D8:D71" ca="1" si="3">NORMSDIST($E$4*NORMSINV(C8)+SQRT(1-$E$4*$E$4)*NORMSINV(RAND()))</f>
        <v>1.341040334822385E-2</v>
      </c>
      <c r="E8">
        <f t="shared" ref="E8:E71" ca="1" si="4">_xlfn.NORM.INV(C8,$E$2,$E$3)</f>
        <v>92.657124212102474</v>
      </c>
      <c r="F8">
        <f t="shared" ref="F8:F71" ca="1" si="5">_xlfn.NORM.INV(D8,$F$2,$F$3)</f>
        <v>24.647102340260005</v>
      </c>
      <c r="G8">
        <f t="shared" ref="G8:G71" ca="1" si="6">E8+F8</f>
        <v>117.30422655236248</v>
      </c>
      <c r="J8">
        <v>0.05</v>
      </c>
      <c r="K8">
        <f>ROUND(_xlfn.NORM.INV(J8,$E$2,$E$3), 0)</f>
        <v>75</v>
      </c>
      <c r="L8">
        <f>ROUND(_xlfn.NORM.INV(J8,$F$2,$F$3), 0)</f>
        <v>39</v>
      </c>
      <c r="N8">
        <f t="shared" ref="N8:N13" si="7">K8</f>
        <v>75</v>
      </c>
      <c r="O8" s="1">
        <f>$K8+O$6</f>
        <v>97</v>
      </c>
      <c r="P8" s="1">
        <f t="shared" si="0"/>
        <v>114</v>
      </c>
      <c r="Q8" s="1">
        <f t="shared" si="0"/>
        <v>138</v>
      </c>
      <c r="R8" s="1">
        <f t="shared" si="0"/>
        <v>155</v>
      </c>
      <c r="S8" s="1">
        <f t="shared" si="0"/>
        <v>172</v>
      </c>
      <c r="T8" s="1">
        <f t="shared" si="0"/>
        <v>196</v>
      </c>
      <c r="U8" s="1">
        <f t="shared" si="0"/>
        <v>213</v>
      </c>
      <c r="Z8">
        <v>3</v>
      </c>
      <c r="AA8">
        <f t="shared" ref="AA8:AA25" si="8">AA7+(273-87)/19</f>
        <v>106.57894736842104</v>
      </c>
      <c r="AB8" t="e" cm="1">
        <f t="array" aca="1" ref="AB8" ca="1">LinInt($AA8,$O$7:$O$13,$O$19:$O$25)</f>
        <v>#NAME?</v>
      </c>
      <c r="AC8" t="e" cm="1">
        <f t="array" aca="1" ref="AC8" ca="1">LinInt($AA8,$P$7:$P$13,$P$19:$P$25)</f>
        <v>#NAME?</v>
      </c>
      <c r="AD8" t="e" cm="1">
        <f t="array" aca="1" ref="AD8" ca="1">LinInt($AA8,$Q$7:$Q$13,$Q$19:$Q$25)</f>
        <v>#NAME?</v>
      </c>
      <c r="AE8" t="e" cm="1">
        <f t="array" aca="1" ref="AE8" ca="1">LinInt($AA8,$R$7:$R$13,$R$19:$R$25)</f>
        <v>#NAME?</v>
      </c>
      <c r="AF8" t="e" cm="1">
        <f t="array" aca="1" ref="AF8" ca="1">LinInt($AA8,$S$7:$S$13,$S$19:$S$25)</f>
        <v>#NAME?</v>
      </c>
      <c r="AG8" t="e" cm="1">
        <f t="array" aca="1" ref="AG8" ca="1">LinInt($AA8,$T$7:$T$13,$T$19:$T$25)</f>
        <v>#NAME?</v>
      </c>
      <c r="AH8" t="e" cm="1">
        <f t="array" aca="1" ref="AH8" ca="1">LinInt($AA8,$U$7:$U$13,$U$19:$U$25)</f>
        <v>#NAME?</v>
      </c>
      <c r="AI8" t="e">
        <f t="shared" ca="1" si="1"/>
        <v>#NAME?</v>
      </c>
      <c r="AK8">
        <f t="shared" ref="AK8:AK25" si="9">_xlfn.NORM.DIST(AA8,$H$2,$H$3, TRUE)</f>
        <v>5.8957845860838276E-3</v>
      </c>
    </row>
    <row r="9" spans="2:37" x14ac:dyDescent="0.25">
      <c r="B9">
        <v>3</v>
      </c>
      <c r="C9">
        <f t="shared" ca="1" si="2"/>
        <v>0.91507974859807262</v>
      </c>
      <c r="D9">
        <f t="shared" ca="1" si="3"/>
        <v>0.3509970504854355</v>
      </c>
      <c r="E9">
        <f t="shared" ca="1" si="4"/>
        <v>120.59074725226291</v>
      </c>
      <c r="F9">
        <f t="shared" ca="1" si="5"/>
        <v>70.434249249949531</v>
      </c>
      <c r="G9">
        <f t="shared" ca="1" si="6"/>
        <v>191.02499650221245</v>
      </c>
      <c r="J9">
        <v>0.25</v>
      </c>
      <c r="K9">
        <f>ROUND(_xlfn.NORM.INV(J9,$E$2,$E$3), 0)</f>
        <v>90</v>
      </c>
      <c r="L9">
        <f t="shared" ref="L9:L10" si="10">ROUND(_xlfn.NORM.INV(J9,$F$2,$F$3), 0)</f>
        <v>63</v>
      </c>
      <c r="N9">
        <f t="shared" si="7"/>
        <v>90</v>
      </c>
      <c r="O9" s="1">
        <f t="shared" ref="O9:U13" si="11">$K9+O$6</f>
        <v>112</v>
      </c>
      <c r="P9" s="1">
        <f t="shared" si="11"/>
        <v>129</v>
      </c>
      <c r="Q9" s="1">
        <f t="shared" si="11"/>
        <v>153</v>
      </c>
      <c r="R9" s="1">
        <f t="shared" si="11"/>
        <v>170</v>
      </c>
      <c r="S9" s="1">
        <f t="shared" si="11"/>
        <v>187</v>
      </c>
      <c r="T9" s="1">
        <f t="shared" si="11"/>
        <v>211</v>
      </c>
      <c r="U9" s="1">
        <f t="shared" si="11"/>
        <v>228</v>
      </c>
      <c r="Z9">
        <v>4</v>
      </c>
      <c r="AA9">
        <f t="shared" si="8"/>
        <v>116.36842105263156</v>
      </c>
      <c r="AB9" t="e" cm="1">
        <f t="array" aca="1" ref="AB9" ca="1">LinInt($AA9,$O$7:$O$13,$O$19:$O$25)</f>
        <v>#NAME?</v>
      </c>
      <c r="AC9" t="e" cm="1">
        <f t="array" aca="1" ref="AC9" ca="1">LinInt($AA9,$P$7:$P$13,$P$19:$P$25)</f>
        <v>#NAME?</v>
      </c>
      <c r="AD9" t="e" cm="1">
        <f t="array" aca="1" ref="AD9" ca="1">LinInt($AA9,$Q$7:$Q$13,$Q$19:$Q$25)</f>
        <v>#NAME?</v>
      </c>
      <c r="AE9" t="e" cm="1">
        <f t="array" aca="1" ref="AE9" ca="1">LinInt($AA9,$R$7:$R$13,$R$19:$R$25)</f>
        <v>#NAME?</v>
      </c>
      <c r="AF9" t="e" cm="1">
        <f t="array" aca="1" ref="AF9" ca="1">LinInt($AA9,$S$7:$S$13,$S$19:$S$25)</f>
        <v>#NAME?</v>
      </c>
      <c r="AG9" t="e" cm="1">
        <f t="array" aca="1" ref="AG9" ca="1">LinInt($AA9,$T$7:$T$13,$T$19:$T$25)</f>
        <v>#NAME?</v>
      </c>
      <c r="AH9" t="e" cm="1">
        <f t="array" aca="1" ref="AH9" ca="1">LinInt($AA9,$U$7:$U$13,$U$19:$U$25)</f>
        <v>#NAME?</v>
      </c>
      <c r="AI9" t="e">
        <f t="shared" ca="1" si="1"/>
        <v>#NAME?</v>
      </c>
      <c r="AK9">
        <f t="shared" si="9"/>
        <v>1.4534661348808309E-2</v>
      </c>
    </row>
    <row r="10" spans="2:37" x14ac:dyDescent="0.25">
      <c r="B10">
        <v>4</v>
      </c>
      <c r="C10">
        <f t="shared" ca="1" si="2"/>
        <v>0.92394136881858679</v>
      </c>
      <c r="D10">
        <f t="shared" ca="1" si="3"/>
        <v>0.25108121015311302</v>
      </c>
      <c r="E10">
        <f t="shared" ca="1" si="4"/>
        <v>121.4813921254536</v>
      </c>
      <c r="F10">
        <f t="shared" ca="1" si="5"/>
        <v>63.222719516814109</v>
      </c>
      <c r="G10">
        <f t="shared" ca="1" si="6"/>
        <v>184.70411164226772</v>
      </c>
      <c r="J10">
        <v>0.5</v>
      </c>
      <c r="K10">
        <f>ROUND(_xlfn.NORM.INV(J10,$E$2,$E$3), 0)</f>
        <v>100</v>
      </c>
      <c r="L10">
        <f t="shared" si="10"/>
        <v>80</v>
      </c>
      <c r="N10">
        <f t="shared" si="7"/>
        <v>100</v>
      </c>
      <c r="O10" s="1">
        <f t="shared" si="11"/>
        <v>122</v>
      </c>
      <c r="P10" s="1">
        <f t="shared" si="11"/>
        <v>139</v>
      </c>
      <c r="Q10" s="1">
        <f t="shared" si="11"/>
        <v>163</v>
      </c>
      <c r="R10" s="1">
        <f t="shared" si="11"/>
        <v>180</v>
      </c>
      <c r="S10" s="1">
        <f t="shared" si="11"/>
        <v>197</v>
      </c>
      <c r="T10" s="1">
        <f t="shared" si="11"/>
        <v>221</v>
      </c>
      <c r="U10" s="1">
        <f t="shared" si="11"/>
        <v>238</v>
      </c>
      <c r="Z10">
        <v>5</v>
      </c>
      <c r="AA10">
        <f t="shared" si="8"/>
        <v>126.15789473684208</v>
      </c>
      <c r="AB10" t="e" cm="1">
        <f t="array" aca="1" ref="AB10" ca="1">LinInt($AA10,$O$7:$O$13,$O$19:$O$25)</f>
        <v>#NAME?</v>
      </c>
      <c r="AC10" t="e" cm="1">
        <f t="array" aca="1" ref="AC10" ca="1">LinInt($AA10,$P$7:$P$13,$P$19:$P$25)</f>
        <v>#NAME?</v>
      </c>
      <c r="AD10" t="e" cm="1">
        <f t="array" aca="1" ref="AD10" ca="1">LinInt($AA10,$Q$7:$Q$13,$Q$19:$Q$25)</f>
        <v>#NAME?</v>
      </c>
      <c r="AE10" t="e" cm="1">
        <f t="array" aca="1" ref="AE10" ca="1">LinInt($AA10,$R$7:$R$13,$R$19:$R$25)</f>
        <v>#NAME?</v>
      </c>
      <c r="AF10" t="e" cm="1">
        <f t="array" aca="1" ref="AF10" ca="1">LinInt($AA10,$S$7:$S$13,$S$19:$S$25)</f>
        <v>#NAME?</v>
      </c>
      <c r="AG10" t="e" cm="1">
        <f t="array" aca="1" ref="AG10" ca="1">LinInt($AA10,$T$7:$T$13,$T$19:$T$25)</f>
        <v>#NAME?</v>
      </c>
      <c r="AH10" t="e" cm="1">
        <f t="array" aca="1" ref="AH10" ca="1">LinInt($AA10,$U$7:$U$13,$U$19:$U$25)</f>
        <v>#NAME?</v>
      </c>
      <c r="AI10" t="e">
        <f t="shared" ca="1" si="1"/>
        <v>#NAME?</v>
      </c>
      <c r="AK10">
        <f t="shared" si="9"/>
        <v>3.2390315105037891E-2</v>
      </c>
    </row>
    <row r="11" spans="2:37" x14ac:dyDescent="0.25">
      <c r="B11">
        <v>5</v>
      </c>
      <c r="C11">
        <f t="shared" ca="1" si="2"/>
        <v>0.2598020282905853</v>
      </c>
      <c r="D11">
        <f t="shared" ca="1" si="3"/>
        <v>0.73743070224389085</v>
      </c>
      <c r="E11">
        <f t="shared" ca="1" si="4"/>
        <v>90.340662083400787</v>
      </c>
      <c r="F11">
        <f t="shared" ca="1" si="5"/>
        <v>95.886110868831054</v>
      </c>
      <c r="G11">
        <f t="shared" ca="1" si="6"/>
        <v>186.22677295223184</v>
      </c>
      <c r="J11">
        <v>0.75</v>
      </c>
      <c r="K11">
        <f>ROUND(_xlfn.NORM.INV(J11,$E$2,$E$3), 0)</f>
        <v>110</v>
      </c>
      <c r="L11">
        <f>ROUND(_xlfn.NORM.INV(J11,$F$2,$F$3), 0)</f>
        <v>97</v>
      </c>
      <c r="N11">
        <f t="shared" si="7"/>
        <v>110</v>
      </c>
      <c r="O11" s="1">
        <f t="shared" si="11"/>
        <v>132</v>
      </c>
      <c r="P11" s="1">
        <f t="shared" si="11"/>
        <v>149</v>
      </c>
      <c r="Q11" s="1">
        <f t="shared" si="11"/>
        <v>173</v>
      </c>
      <c r="R11" s="1">
        <f t="shared" si="11"/>
        <v>190</v>
      </c>
      <c r="S11" s="1">
        <f t="shared" si="11"/>
        <v>207</v>
      </c>
      <c r="T11" s="1">
        <f t="shared" si="11"/>
        <v>231</v>
      </c>
      <c r="U11" s="1">
        <f t="shared" si="11"/>
        <v>248</v>
      </c>
      <c r="Z11">
        <v>6</v>
      </c>
      <c r="AA11">
        <f t="shared" si="8"/>
        <v>135.9473684210526</v>
      </c>
      <c r="AB11" t="e" cm="1">
        <f t="array" aca="1" ref="AB11" ca="1">LinInt($AA11,$O$7:$O$13,$O$19:$O$25)</f>
        <v>#NAME?</v>
      </c>
      <c r="AC11" t="e" cm="1">
        <f t="array" aca="1" ref="AC11" ca="1">LinInt($AA11,$P$7:$P$13,$P$19:$P$25)</f>
        <v>#NAME?</v>
      </c>
      <c r="AD11" t="e" cm="1">
        <f t="array" aca="1" ref="AD11" ca="1">LinInt($AA11,$Q$7:$Q$13,$Q$19:$Q$25)</f>
        <v>#NAME?</v>
      </c>
      <c r="AE11" t="e" cm="1">
        <f t="array" aca="1" ref="AE11" ca="1">LinInt($AA11,$R$7:$R$13,$R$19:$R$25)</f>
        <v>#NAME?</v>
      </c>
      <c r="AF11" t="e" cm="1">
        <f t="array" aca="1" ref="AF11" ca="1">LinInt($AA11,$S$7:$S$13,$S$19:$S$25)</f>
        <v>#NAME?</v>
      </c>
      <c r="AG11" t="e" cm="1">
        <f t="array" aca="1" ref="AG11" ca="1">LinInt($AA11,$T$7:$T$13,$T$19:$T$25)</f>
        <v>#NAME?</v>
      </c>
      <c r="AH11" t="e" cm="1">
        <f t="array" aca="1" ref="AH11" ca="1">LinInt($AA11,$U$7:$U$13,$U$19:$U$25)</f>
        <v>#NAME?</v>
      </c>
      <c r="AI11" t="e">
        <f t="shared" ca="1" si="1"/>
        <v>#NAME?</v>
      </c>
      <c r="AK11">
        <f t="shared" si="9"/>
        <v>6.5395142968078634E-2</v>
      </c>
    </row>
    <row r="12" spans="2:37" x14ac:dyDescent="0.25">
      <c r="B12">
        <v>6</v>
      </c>
      <c r="C12">
        <f t="shared" ca="1" si="2"/>
        <v>3.4213475642004276E-2</v>
      </c>
      <c r="D12">
        <f t="shared" ca="1" si="3"/>
        <v>0.16574535531651635</v>
      </c>
      <c r="E12">
        <f t="shared" ca="1" si="4"/>
        <v>72.667228114551932</v>
      </c>
      <c r="F12">
        <f t="shared" ca="1" si="5"/>
        <v>55.722109716981549</v>
      </c>
      <c r="G12">
        <f t="shared" ca="1" si="6"/>
        <v>128.38933783153348</v>
      </c>
      <c r="J12">
        <v>0.95</v>
      </c>
      <c r="K12">
        <f>ROUND(_xlfn.NORM.INV(J12,$E$2,$E$3), 0)</f>
        <v>125</v>
      </c>
      <c r="L12">
        <f>ROUND(_xlfn.NORM.INV(J12,$F$2,$F$3), 0)</f>
        <v>121</v>
      </c>
      <c r="N12">
        <f t="shared" si="7"/>
        <v>125</v>
      </c>
      <c r="O12" s="1">
        <f t="shared" si="11"/>
        <v>147</v>
      </c>
      <c r="P12" s="1">
        <f t="shared" si="11"/>
        <v>164</v>
      </c>
      <c r="Q12" s="1">
        <f t="shared" si="11"/>
        <v>188</v>
      </c>
      <c r="R12" s="1">
        <f t="shared" si="11"/>
        <v>205</v>
      </c>
      <c r="S12" s="1">
        <f t="shared" si="11"/>
        <v>222</v>
      </c>
      <c r="T12" s="1">
        <f t="shared" si="11"/>
        <v>246</v>
      </c>
      <c r="U12" s="1">
        <f t="shared" si="11"/>
        <v>263</v>
      </c>
      <c r="Z12">
        <v>7</v>
      </c>
      <c r="AA12">
        <f t="shared" si="8"/>
        <v>145.73684210526312</v>
      </c>
      <c r="AB12" t="e" cm="1">
        <f t="array" aca="1" ref="AB12" ca="1">LinInt($AA12,$O$7:$O$13,$O$19:$O$25)</f>
        <v>#NAME?</v>
      </c>
      <c r="AC12" t="e" cm="1">
        <f t="array" aca="1" ref="AC12" ca="1">LinInt($AA12,$P$7:$P$13,$P$19:$P$25)</f>
        <v>#NAME?</v>
      </c>
      <c r="AD12" t="e" cm="1">
        <f t="array" aca="1" ref="AD12" ca="1">LinInt($AA12,$Q$7:$Q$13,$Q$19:$Q$25)</f>
        <v>#NAME?</v>
      </c>
      <c r="AE12" t="e" cm="1">
        <f t="array" aca="1" ref="AE12" ca="1">LinInt($AA12,$R$7:$R$13,$R$19:$R$25)</f>
        <v>#NAME?</v>
      </c>
      <c r="AF12" t="e" cm="1">
        <f t="array" aca="1" ref="AF12" ca="1">LinInt($AA12,$S$7:$S$13,$S$19:$S$25)</f>
        <v>#NAME?</v>
      </c>
      <c r="AG12" t="e" cm="1">
        <f t="array" aca="1" ref="AG12" ca="1">LinInt($AA12,$T$7:$T$13,$T$19:$T$25)</f>
        <v>#NAME?</v>
      </c>
      <c r="AH12" t="e" cm="1">
        <f t="array" aca="1" ref="AH12" ca="1">LinInt($AA12,$U$7:$U$13,$U$19:$U$25)</f>
        <v>#NAME?</v>
      </c>
      <c r="AI12" t="e">
        <f t="shared" ca="1" si="1"/>
        <v>#NAME?</v>
      </c>
      <c r="AK12">
        <f t="shared" si="9"/>
        <v>0.11995403125793169</v>
      </c>
    </row>
    <row r="13" spans="2:37" x14ac:dyDescent="0.25">
      <c r="B13">
        <v>7</v>
      </c>
      <c r="C13">
        <f t="shared" ca="1" si="2"/>
        <v>0.97053353827547251</v>
      </c>
      <c r="D13">
        <f t="shared" ca="1" si="3"/>
        <v>0.93854003308281275</v>
      </c>
      <c r="E13">
        <f t="shared" ca="1" si="4"/>
        <v>128.33040100682183</v>
      </c>
      <c r="F13">
        <f t="shared" ca="1" si="5"/>
        <v>118.56581600661383</v>
      </c>
      <c r="G13">
        <f t="shared" ca="1" si="6"/>
        <v>246.89621701343566</v>
      </c>
      <c r="J13">
        <v>0.99</v>
      </c>
      <c r="K13">
        <f>ROUND(_xlfn.NORM.INV(J13,$E$2,$E$3), 0)</f>
        <v>135</v>
      </c>
      <c r="L13">
        <f t="shared" ref="L13" si="12">ROUND(_xlfn.NORM.INV(J13,$F$2,$F$3), 0)</f>
        <v>138</v>
      </c>
      <c r="N13">
        <f t="shared" si="7"/>
        <v>135</v>
      </c>
      <c r="O13" s="1">
        <f t="shared" si="11"/>
        <v>157</v>
      </c>
      <c r="P13" s="1">
        <f t="shared" si="11"/>
        <v>174</v>
      </c>
      <c r="Q13" s="1">
        <f t="shared" si="11"/>
        <v>198</v>
      </c>
      <c r="R13" s="1">
        <f t="shared" si="11"/>
        <v>215</v>
      </c>
      <c r="S13" s="1">
        <f t="shared" si="11"/>
        <v>232</v>
      </c>
      <c r="T13" s="1">
        <f t="shared" si="11"/>
        <v>256</v>
      </c>
      <c r="U13" s="1">
        <f t="shared" si="11"/>
        <v>273</v>
      </c>
      <c r="Z13">
        <v>8</v>
      </c>
      <c r="AA13">
        <f t="shared" si="8"/>
        <v>155.52631578947364</v>
      </c>
      <c r="AB13" t="e" cm="1">
        <f t="array" aca="1" ref="AB13" ca="1">LinInt($AA13,$O$7:$O$13,$O$19:$O$25)</f>
        <v>#NAME?</v>
      </c>
      <c r="AC13" t="e" cm="1">
        <f t="array" aca="1" ref="AC13" ca="1">LinInt($AA13,$P$7:$P$13,$P$19:$P$25)</f>
        <v>#NAME?</v>
      </c>
      <c r="AD13" t="e" cm="1">
        <f t="array" aca="1" ref="AD13" ca="1">LinInt($AA13,$Q$7:$Q$13,$Q$19:$Q$25)</f>
        <v>#NAME?</v>
      </c>
      <c r="AE13" t="e" cm="1">
        <f t="array" aca="1" ref="AE13" ca="1">LinInt($AA13,$R$7:$R$13,$R$19:$R$25)</f>
        <v>#NAME?</v>
      </c>
      <c r="AF13" t="e" cm="1">
        <f t="array" aca="1" ref="AF13" ca="1">LinInt($AA13,$S$7:$S$13,$S$19:$S$25)</f>
        <v>#NAME?</v>
      </c>
      <c r="AG13" t="e" cm="1">
        <f t="array" aca="1" ref="AG13" ca="1">LinInt($AA13,$T$7:$T$13,$T$19:$T$25)</f>
        <v>#NAME?</v>
      </c>
      <c r="AH13" t="e" cm="1">
        <f t="array" aca="1" ref="AH13" ca="1">LinInt($AA13,$U$7:$U$13,$U$19:$U$25)</f>
        <v>#NAME?</v>
      </c>
      <c r="AI13" t="e">
        <f t="shared" ca="1" si="1"/>
        <v>#NAME?</v>
      </c>
      <c r="AK13">
        <f t="shared" si="9"/>
        <v>0.20061109844754474</v>
      </c>
    </row>
    <row r="14" spans="2:37" x14ac:dyDescent="0.25">
      <c r="B14">
        <v>8</v>
      </c>
      <c r="C14">
        <f t="shared" ca="1" si="2"/>
        <v>0.61654926677368382</v>
      </c>
      <c r="D14">
        <f t="shared" ca="1" si="3"/>
        <v>0.64130789913617281</v>
      </c>
      <c r="E14">
        <f t="shared" ca="1" si="4"/>
        <v>104.44645493319341</v>
      </c>
      <c r="F14">
        <f t="shared" ca="1" si="5"/>
        <v>89.048923730992115</v>
      </c>
      <c r="G14">
        <f t="shared" ca="1" si="6"/>
        <v>193.49537866418552</v>
      </c>
      <c r="Z14">
        <v>9</v>
      </c>
      <c r="AA14">
        <f t="shared" si="8"/>
        <v>165.31578947368416</v>
      </c>
      <c r="AB14" t="e" cm="1">
        <f t="array" aca="1" ref="AB14" ca="1">LinInt($AA14,$O$7:$O$13,$O$19:$O$25)</f>
        <v>#NAME?</v>
      </c>
      <c r="AC14" t="e" cm="1">
        <f t="array" aca="1" ref="AC14" ca="1">LinInt($AA14,$P$7:$P$13,$P$19:$P$25)</f>
        <v>#NAME?</v>
      </c>
      <c r="AD14" t="e" cm="1">
        <f t="array" aca="1" ref="AD14" ca="1">LinInt($AA14,$Q$7:$Q$13,$Q$19:$Q$25)</f>
        <v>#NAME?</v>
      </c>
      <c r="AE14" t="e" cm="1">
        <f t="array" aca="1" ref="AE14" ca="1">LinInt($AA14,$R$7:$R$13,$R$19:$R$25)</f>
        <v>#NAME?</v>
      </c>
      <c r="AF14" t="e" cm="1">
        <f t="array" aca="1" ref="AF14" ca="1">LinInt($AA14,$S$7:$S$13,$S$19:$S$25)</f>
        <v>#NAME?</v>
      </c>
      <c r="AG14" t="e" cm="1">
        <f t="array" aca="1" ref="AG14" ca="1">LinInt($AA14,$T$7:$T$13,$T$19:$T$25)</f>
        <v>#NAME?</v>
      </c>
      <c r="AH14" t="e" cm="1">
        <f t="array" aca="1" ref="AH14" ca="1">LinInt($AA14,$U$7:$U$13,$U$19:$U$25)</f>
        <v>#NAME?</v>
      </c>
      <c r="AI14" t="e">
        <f t="shared" ca="1" si="1"/>
        <v>#NAME?</v>
      </c>
      <c r="AK14">
        <f t="shared" si="9"/>
        <v>0.30724866171893306</v>
      </c>
    </row>
    <row r="15" spans="2:37" x14ac:dyDescent="0.25">
      <c r="B15">
        <v>9</v>
      </c>
      <c r="C15">
        <f t="shared" ca="1" si="2"/>
        <v>0.31730641128475168</v>
      </c>
      <c r="D15">
        <f t="shared" ca="1" si="3"/>
        <v>2.6590095751609432E-2</v>
      </c>
      <c r="E15">
        <f t="shared" ca="1" si="4"/>
        <v>92.871334818314409</v>
      </c>
      <c r="F15">
        <f t="shared" ca="1" si="5"/>
        <v>31.663629069420033</v>
      </c>
      <c r="G15">
        <f t="shared" ca="1" si="6"/>
        <v>124.53496388773445</v>
      </c>
      <c r="O15" t="s">
        <v>11</v>
      </c>
      <c r="Z15">
        <v>10</v>
      </c>
      <c r="AA15">
        <f t="shared" si="8"/>
        <v>175.10526315789468</v>
      </c>
      <c r="AB15" t="e" cm="1">
        <f t="array" aca="1" ref="AB15" ca="1">LinInt($AA15,$O$7:$O$13,$O$19:$O$25)</f>
        <v>#NAME?</v>
      </c>
      <c r="AC15" t="e" cm="1">
        <f t="array" aca="1" ref="AC15" ca="1">LinInt($AA15,$P$7:$P$13,$P$19:$P$25)</f>
        <v>#NAME?</v>
      </c>
      <c r="AD15" t="e" cm="1">
        <f t="array" aca="1" ref="AD15" ca="1">LinInt($AA15,$Q$7:$Q$13,$Q$19:$Q$25)</f>
        <v>#NAME?</v>
      </c>
      <c r="AE15" t="e" cm="1">
        <f t="array" aca="1" ref="AE15" ca="1">LinInt($AA15,$R$7:$R$13,$R$19:$R$25)</f>
        <v>#NAME?</v>
      </c>
      <c r="AF15" t="e" cm="1">
        <f t="array" aca="1" ref="AF15" ca="1">LinInt($AA15,$S$7:$S$13,$S$19:$S$25)</f>
        <v>#NAME?</v>
      </c>
      <c r="AG15" t="e" cm="1">
        <f t="array" aca="1" ref="AG15" ca="1">LinInt($AA15,$T$7:$T$13,$T$19:$T$25)</f>
        <v>#NAME?</v>
      </c>
      <c r="AH15" t="e" cm="1">
        <f t="array" aca="1" ref="AH15" ca="1">LinInt($AA15,$U$7:$U$13,$U$19:$U$25)</f>
        <v>#NAME?</v>
      </c>
      <c r="AI15" t="e">
        <f t="shared" ca="1" si="1"/>
        <v>#NAME?</v>
      </c>
      <c r="AK15">
        <f t="shared" si="9"/>
        <v>0.43333566051482503</v>
      </c>
    </row>
    <row r="16" spans="2:37" x14ac:dyDescent="0.25">
      <c r="B16">
        <v>10</v>
      </c>
      <c r="C16">
        <f t="shared" ca="1" si="2"/>
        <v>6.85383453145616E-2</v>
      </c>
      <c r="D16">
        <f t="shared" ca="1" si="3"/>
        <v>0.31567698084413243</v>
      </c>
      <c r="E16">
        <f t="shared" ca="1" si="4"/>
        <v>77.698513766372926</v>
      </c>
      <c r="F16">
        <f t="shared" ca="1" si="5"/>
        <v>68.00444977743507</v>
      </c>
      <c r="G16">
        <f t="shared" ca="1" si="6"/>
        <v>145.70296354380798</v>
      </c>
      <c r="O16" t="s">
        <v>3</v>
      </c>
      <c r="Z16">
        <v>11</v>
      </c>
      <c r="AA16">
        <f t="shared" si="8"/>
        <v>184.8947368421052</v>
      </c>
      <c r="AB16" t="e" cm="1">
        <f t="array" aca="1" ref="AB16" ca="1">LinInt($AA16,$O$7:$O$13,$O$19:$O$25)</f>
        <v>#NAME?</v>
      </c>
      <c r="AC16" t="e" cm="1">
        <f t="array" aca="1" ref="AC16" ca="1">LinInt($AA16,$P$7:$P$13,$P$19:$P$25)</f>
        <v>#NAME?</v>
      </c>
      <c r="AD16" t="e" cm="1">
        <f t="array" aca="1" ref="AD16" ca="1">LinInt($AA16,$Q$7:$Q$13,$Q$19:$Q$25)</f>
        <v>#NAME?</v>
      </c>
      <c r="AE16" t="e" cm="1">
        <f t="array" aca="1" ref="AE16" ca="1">LinInt($AA16,$R$7:$R$13,$R$19:$R$25)</f>
        <v>#NAME?</v>
      </c>
      <c r="AF16" t="e" cm="1">
        <f t="array" aca="1" ref="AF16" ca="1">LinInt($AA16,$S$7:$S$13,$S$19:$S$25)</f>
        <v>#NAME?</v>
      </c>
      <c r="AG16" t="e" cm="1">
        <f t="array" aca="1" ref="AG16" ca="1">LinInt($AA16,$T$7:$T$13,$T$19:$T$25)</f>
        <v>#NAME?</v>
      </c>
      <c r="AH16" t="e" cm="1">
        <f t="array" aca="1" ref="AH16" ca="1">LinInt($AA16,$U$7:$U$13,$U$19:$U$25)</f>
        <v>#NAME?</v>
      </c>
      <c r="AI16" t="e">
        <f t="shared" ca="1" si="1"/>
        <v>#NAME?</v>
      </c>
      <c r="AK16">
        <f t="shared" si="9"/>
        <v>0.56666433948517347</v>
      </c>
    </row>
    <row r="17" spans="2:37" x14ac:dyDescent="0.25">
      <c r="B17">
        <v>11</v>
      </c>
      <c r="C17">
        <f t="shared" ca="1" si="2"/>
        <v>0.19309310894884923</v>
      </c>
      <c r="D17">
        <f t="shared" ca="1" si="3"/>
        <v>0.41049628928184367</v>
      </c>
      <c r="E17">
        <f t="shared" ca="1" si="4"/>
        <v>87.001684281843524</v>
      </c>
      <c r="F17">
        <f t="shared" ca="1" si="5"/>
        <v>74.343286925048702</v>
      </c>
      <c r="G17">
        <f t="shared" ca="1" si="6"/>
        <v>161.34497120689224</v>
      </c>
      <c r="O17">
        <v>22</v>
      </c>
      <c r="P17">
        <v>39</v>
      </c>
      <c r="Q17">
        <v>63</v>
      </c>
      <c r="R17">
        <v>80</v>
      </c>
      <c r="S17">
        <v>97</v>
      </c>
      <c r="T17">
        <v>121</v>
      </c>
      <c r="U17">
        <v>138</v>
      </c>
      <c r="Z17">
        <v>12</v>
      </c>
      <c r="AA17">
        <f t="shared" si="8"/>
        <v>194.68421052631572</v>
      </c>
      <c r="AB17" t="e" cm="1">
        <f t="array" aca="1" ref="AB17" ca="1">LinInt($AA17,$O$7:$O$13,$O$19:$O$25)</f>
        <v>#NAME?</v>
      </c>
      <c r="AC17" t="e" cm="1">
        <f t="array" aca="1" ref="AC17" ca="1">LinInt($AA17,$P$7:$P$13,$P$19:$P$25)</f>
        <v>#NAME?</v>
      </c>
      <c r="AD17" t="e" cm="1">
        <f t="array" aca="1" ref="AD17" ca="1">LinInt($AA17,$Q$7:$Q$13,$Q$19:$Q$25)</f>
        <v>#NAME?</v>
      </c>
      <c r="AE17" t="e" cm="1">
        <f t="array" aca="1" ref="AE17" ca="1">LinInt($AA17,$R$7:$R$13,$R$19:$R$25)</f>
        <v>#NAME?</v>
      </c>
      <c r="AF17" t="e" cm="1">
        <f t="array" aca="1" ref="AF17" ca="1">LinInt($AA17,$S$7:$S$13,$S$19:$S$25)</f>
        <v>#NAME?</v>
      </c>
      <c r="AG17" t="e" cm="1">
        <f t="array" aca="1" ref="AG17" ca="1">LinInt($AA17,$T$7:$T$13,$T$19:$T$25)</f>
        <v>#NAME?</v>
      </c>
      <c r="AH17" t="e" cm="1">
        <f t="array" aca="1" ref="AH17" ca="1">LinInt($AA17,$U$7:$U$13,$U$19:$U$25)</f>
        <v>#NAME?</v>
      </c>
      <c r="AI17" t="e">
        <f t="shared" ca="1" si="1"/>
        <v>#NAME?</v>
      </c>
      <c r="AK17">
        <f t="shared" si="9"/>
        <v>0.69275133828106561</v>
      </c>
    </row>
    <row r="18" spans="2:37" x14ac:dyDescent="0.25">
      <c r="B18">
        <v>12</v>
      </c>
      <c r="C18">
        <f t="shared" ca="1" si="2"/>
        <v>0.96356939702463495</v>
      </c>
      <c r="D18">
        <f t="shared" ca="1" si="3"/>
        <v>0.43595036915772689</v>
      </c>
      <c r="E18">
        <f t="shared" ca="1" si="4"/>
        <v>126.90548679114667</v>
      </c>
      <c r="F18">
        <f t="shared" ca="1" si="5"/>
        <v>75.968884471772697</v>
      </c>
      <c r="G18">
        <f t="shared" ca="1" si="6"/>
        <v>202.87437126291937</v>
      </c>
      <c r="M18" t="s">
        <v>2</v>
      </c>
      <c r="N18" t="s">
        <v>12</v>
      </c>
      <c r="O18">
        <f>_xlfn.NORM.DIST(AVERAGE(O17:P17),$F$2, $F$3, TRUE)</f>
        <v>2.3851764341508513E-2</v>
      </c>
      <c r="P18">
        <f t="shared" ref="O18:R18" si="13">_xlfn.NORM.DIST(AVERAGE(P17:Q17),$F$2, $F$3, TRUE)</f>
        <v>0.12302440305134338</v>
      </c>
      <c r="Q18">
        <f t="shared" si="13"/>
        <v>0.36692826396397193</v>
      </c>
      <c r="R18">
        <f t="shared" si="13"/>
        <v>0.63307173603602807</v>
      </c>
      <c r="S18">
        <f>_xlfn.NORM.DIST(AVERAGE(S17:T17),$F$2, $F$3, TRUE)</f>
        <v>0.87697559694865657</v>
      </c>
      <c r="T18">
        <f>_xlfn.NORM.DIST(AVERAGE(T17:U17),$F$2, $F$3, TRUE)</f>
        <v>0.97614823565849151</v>
      </c>
      <c r="U18">
        <v>1</v>
      </c>
      <c r="Z18">
        <v>13</v>
      </c>
      <c r="AA18">
        <f t="shared" si="8"/>
        <v>204.47368421052624</v>
      </c>
      <c r="AB18" t="e" cm="1">
        <f t="array" aca="1" ref="AB18" ca="1">LinInt($AA18,$O$7:$O$13,$O$19:$O$25)</f>
        <v>#NAME?</v>
      </c>
      <c r="AC18" t="e" cm="1">
        <f t="array" aca="1" ref="AC18" ca="1">LinInt($AA18,$P$7:$P$13,$P$19:$P$25)</f>
        <v>#NAME?</v>
      </c>
      <c r="AD18" t="e" cm="1">
        <f t="array" aca="1" ref="AD18" ca="1">LinInt($AA18,$Q$7:$Q$13,$Q$19:$Q$25)</f>
        <v>#NAME?</v>
      </c>
      <c r="AE18" t="e" cm="1">
        <f t="array" aca="1" ref="AE18" ca="1">LinInt($AA18,$R$7:$R$13,$R$19:$R$25)</f>
        <v>#NAME?</v>
      </c>
      <c r="AF18" t="e" cm="1">
        <f t="array" aca="1" ref="AF18" ca="1">LinInt($AA18,$S$7:$S$13,$S$19:$S$25)</f>
        <v>#NAME?</v>
      </c>
      <c r="AG18" t="e" cm="1">
        <f t="array" aca="1" ref="AG18" ca="1">LinInt($AA18,$T$7:$T$13,$T$19:$T$25)</f>
        <v>#NAME?</v>
      </c>
      <c r="AH18" t="e" cm="1">
        <f t="array" aca="1" ref="AH18" ca="1">LinInt($AA18,$U$7:$U$13,$U$19:$U$25)</f>
        <v>#NAME?</v>
      </c>
      <c r="AI18" t="e">
        <f t="shared" ca="1" si="1"/>
        <v>#NAME?</v>
      </c>
      <c r="AK18">
        <f t="shared" si="9"/>
        <v>0.79938890155245412</v>
      </c>
    </row>
    <row r="19" spans="2:37" x14ac:dyDescent="0.25">
      <c r="B19">
        <v>13</v>
      </c>
      <c r="C19">
        <f t="shared" ca="1" si="2"/>
        <v>0.32611016029470685</v>
      </c>
      <c r="D19">
        <f t="shared" ca="1" si="3"/>
        <v>0.86996572407262796</v>
      </c>
      <c r="E19">
        <f t="shared" ca="1" si="4"/>
        <v>93.239802531111522</v>
      </c>
      <c r="F19">
        <f t="shared" ca="1" si="5"/>
        <v>108.15572793141772</v>
      </c>
      <c r="G19">
        <f t="shared" ca="1" si="6"/>
        <v>201.39553046252922</v>
      </c>
      <c r="M19">
        <v>65</v>
      </c>
      <c r="N19">
        <f>_xlfn.NORM.DIST(N7,$E$2,$E$3,TRUE)</f>
        <v>9.8153286286453353E-3</v>
      </c>
      <c r="O19" s="1" t="e" cm="1">
        <f t="array" aca="1" ref="O19" ca="1">BivariateNormalCDF($N19,O$18, 0)</f>
        <v>#NAME?</v>
      </c>
      <c r="P19" s="1" t="e" cm="1">
        <f t="array" aca="1" ref="P19" ca="1">(BivariateNormalCDF($N19,P$18, 0)-BivariateNormalCDF($N19,O$18, 0))</f>
        <v>#NAME?</v>
      </c>
      <c r="Q19" s="1" t="e" cm="1">
        <f t="array" aca="1" ref="Q19" ca="1">(BivariateNormalCDF($N19,Q$18, 0)-BivariateNormalCDF($N19,P$18, 0))</f>
        <v>#NAME?</v>
      </c>
      <c r="R19" s="1" t="e" cm="1">
        <f t="array" aca="1" ref="R19" ca="1">(BivariateNormalCDF($N19,R$18, 0)-BivariateNormalCDF($N19,Q$18, 0))</f>
        <v>#NAME?</v>
      </c>
      <c r="S19" s="1" t="e" cm="1">
        <f t="array" aca="1" ref="S19" ca="1">(BivariateNormalCDF($N19,S$18, 0)-BivariateNormalCDF($N19,R$18, 0))</f>
        <v>#NAME?</v>
      </c>
      <c r="T19" s="1" t="e" cm="1">
        <f t="array" aca="1" ref="T19" ca="1">(BivariateNormalCDF($N19,T$18, 0)-BivariateNormalCDF($N19,S$18, 0))</f>
        <v>#NAME?</v>
      </c>
      <c r="U19" s="1" t="e" cm="1">
        <f t="array" aca="1" ref="U19" ca="1">(BivariateNormalCDF($N19,U$18, 0)-BivariateNormalCDF($N19,T$18, 0))</f>
        <v>#NAME?</v>
      </c>
      <c r="V19" s="1"/>
      <c r="Z19">
        <v>14</v>
      </c>
      <c r="AA19">
        <f t="shared" si="8"/>
        <v>214.26315789473676</v>
      </c>
      <c r="AB19" t="e" cm="1">
        <f t="array" aca="1" ref="AB19" ca="1">LinInt($AA19,$O$7:$O$13,$O$19:$O$25)</f>
        <v>#NAME?</v>
      </c>
      <c r="AC19" t="e" cm="1">
        <f t="array" aca="1" ref="AC19" ca="1">LinInt($AA19,$P$7:$P$13,$P$19:$P$25)</f>
        <v>#NAME?</v>
      </c>
      <c r="AD19" t="e" cm="1">
        <f t="array" aca="1" ref="AD19" ca="1">LinInt($AA19,$Q$7:$Q$13,$Q$19:$Q$25)</f>
        <v>#NAME?</v>
      </c>
      <c r="AE19" t="e" cm="1">
        <f t="array" aca="1" ref="AE19" ca="1">LinInt($AA19,$R$7:$R$13,$R$19:$R$25)</f>
        <v>#NAME?</v>
      </c>
      <c r="AF19" t="e" cm="1">
        <f t="array" aca="1" ref="AF19" ca="1">LinInt($AA19,$S$7:$S$13,$S$19:$S$25)</f>
        <v>#NAME?</v>
      </c>
      <c r="AG19" t="e" cm="1">
        <f t="array" aca="1" ref="AG19" ca="1">LinInt($AA19,$T$7:$T$13,$T$19:$T$25)</f>
        <v>#NAME?</v>
      </c>
      <c r="AH19" t="e" cm="1">
        <f t="array" aca="1" ref="AH19" ca="1">LinInt($AA19,$U$7:$U$13,$U$19:$U$25)</f>
        <v>#NAME?</v>
      </c>
      <c r="AI19" t="e">
        <f t="shared" ca="1" si="1"/>
        <v>#NAME?</v>
      </c>
      <c r="AK19">
        <f t="shared" si="9"/>
        <v>0.88004596874206753</v>
      </c>
    </row>
    <row r="20" spans="2:37" x14ac:dyDescent="0.25">
      <c r="B20">
        <v>14</v>
      </c>
      <c r="C20">
        <f t="shared" ca="1" si="2"/>
        <v>0.73598553966047953</v>
      </c>
      <c r="D20">
        <f t="shared" ca="1" si="3"/>
        <v>0.65360908889289959</v>
      </c>
      <c r="E20">
        <f t="shared" ca="1" si="4"/>
        <v>109.46526620232629</v>
      </c>
      <c r="F20">
        <f t="shared" ca="1" si="5"/>
        <v>89.87706864133466</v>
      </c>
      <c r="G20">
        <f t="shared" ca="1" si="6"/>
        <v>199.34233484366095</v>
      </c>
      <c r="M20">
        <v>75</v>
      </c>
      <c r="N20">
        <f t="shared" ref="N20:N24" si="14">_xlfn.NORM.DIST(N8,$E$2,$E$3,TRUE)</f>
        <v>4.7790352272814703E-2</v>
      </c>
      <c r="O20" s="1" t="e" cm="1">
        <f t="array" aca="1" ref="O20" ca="1">BivariateNormalCDF($N20,O$18, 0)</f>
        <v>#NAME?</v>
      </c>
      <c r="P20" s="1" t="e" cm="1">
        <f t="array" aca="1" ref="P20" ca="1">(BivariateNormalCDF($N20,P$18, 0)-BivariateNormalCDF($N20,O$18, 0))</f>
        <v>#NAME?</v>
      </c>
      <c r="Q20" s="1" t="e" cm="1">
        <f t="array" aca="1" ref="Q20" ca="1">(BivariateNormalCDF($N20,Q$18, 0)-BivariateNormalCDF($N20,P$18, 0))</f>
        <v>#NAME?</v>
      </c>
      <c r="R20" s="1" t="e" cm="1">
        <f t="array" aca="1" ref="R20" ca="1">(BivariateNormalCDF($N20,R$18, 0)-BivariateNormalCDF($N20,Q$18, 0))</f>
        <v>#NAME?</v>
      </c>
      <c r="S20" s="1" t="e" cm="1">
        <f t="array" aca="1" ref="S20" ca="1">(BivariateNormalCDF($N20,S$18, 0)-BivariateNormalCDF($N20,R$18, 0))</f>
        <v>#NAME?</v>
      </c>
      <c r="T20" s="1" t="e" cm="1">
        <f t="array" aca="1" ref="T20" ca="1">(BivariateNormalCDF($N20,T$18, 0)-BivariateNormalCDF($N20,S$18, 0))</f>
        <v>#NAME?</v>
      </c>
      <c r="U20" s="1" t="e" cm="1">
        <f t="array" aca="1" ref="U20" ca="1">(BivariateNormalCDF($N20,U$18, 0)-BivariateNormalCDF($N20,T$18, 0))</f>
        <v>#NAME?</v>
      </c>
      <c r="Z20">
        <v>15</v>
      </c>
      <c r="AA20">
        <f t="shared" si="8"/>
        <v>224.05263157894728</v>
      </c>
      <c r="AB20" t="e" cm="1">
        <f t="array" aca="1" ref="AB20" ca="1">LinInt($AA20,$O$7:$O$13,$O$19:$O$25)</f>
        <v>#NAME?</v>
      </c>
      <c r="AC20" t="e" cm="1">
        <f t="array" aca="1" ref="AC20" ca="1">LinInt($AA20,$P$7:$P$13,$P$19:$P$25)</f>
        <v>#NAME?</v>
      </c>
      <c r="AD20" t="e" cm="1">
        <f t="array" aca="1" ref="AD20" ca="1">LinInt($AA20,$Q$7:$Q$13,$Q$19:$Q$25)</f>
        <v>#NAME?</v>
      </c>
      <c r="AE20" t="e" cm="1">
        <f t="array" aca="1" ref="AE20" ca="1">LinInt($AA20,$R$7:$R$13,$R$19:$R$25)</f>
        <v>#NAME?</v>
      </c>
      <c r="AF20" t="e" cm="1">
        <f t="array" aca="1" ref="AF20" ca="1">LinInt($AA20,$S$7:$S$13,$S$19:$S$25)</f>
        <v>#NAME?</v>
      </c>
      <c r="AG20" t="e" cm="1">
        <f t="array" aca="1" ref="AG20" ca="1">LinInt($AA20,$T$7:$T$13,$T$19:$T$25)</f>
        <v>#NAME?</v>
      </c>
      <c r="AH20" t="e" cm="1">
        <f t="array" aca="1" ref="AH20" ca="1">LinInt($AA20,$U$7:$U$13,$U$19:$U$25)</f>
        <v>#NAME?</v>
      </c>
      <c r="AI20" t="e">
        <f t="shared" ca="1" si="1"/>
        <v>#NAME?</v>
      </c>
      <c r="AK20">
        <f t="shared" si="9"/>
        <v>0.93460485703192087</v>
      </c>
    </row>
    <row r="21" spans="2:37" x14ac:dyDescent="0.25">
      <c r="B21">
        <v>15</v>
      </c>
      <c r="C21">
        <f t="shared" ca="1" si="2"/>
        <v>0.24217933873941699</v>
      </c>
      <c r="D21">
        <f t="shared" ca="1" si="3"/>
        <v>6.9469935774371688E-2</v>
      </c>
      <c r="E21">
        <f t="shared" ca="1" si="4"/>
        <v>89.510358607996324</v>
      </c>
      <c r="F21">
        <f t="shared" ca="1" si="5"/>
        <v>43.006240156780628</v>
      </c>
      <c r="G21">
        <f t="shared" ca="1" si="6"/>
        <v>132.51659876477694</v>
      </c>
      <c r="M21">
        <v>90</v>
      </c>
      <c r="N21">
        <f t="shared" si="14"/>
        <v>0.25249253754692291</v>
      </c>
      <c r="O21" s="1" t="e" cm="1">
        <f t="array" aca="1" ref="O21" ca="1">BivariateNormalCDF($N21,O$18, 0)</f>
        <v>#NAME?</v>
      </c>
      <c r="P21" s="1" t="e" cm="1">
        <f t="array" aca="1" ref="P21" ca="1">(BivariateNormalCDF($N21,P$18, 0)-BivariateNormalCDF($N21,O$18, 0))</f>
        <v>#NAME?</v>
      </c>
      <c r="Q21" s="1" t="e" cm="1">
        <f t="array" aca="1" ref="Q21" ca="1">(BivariateNormalCDF($N21,Q$18, 0)-BivariateNormalCDF($N21,P$18, 0))</f>
        <v>#NAME?</v>
      </c>
      <c r="R21" s="1" t="e" cm="1">
        <f t="array" aca="1" ref="R21" ca="1">(BivariateNormalCDF($N21,R$18, 0)-BivariateNormalCDF($N21,Q$18, 0))</f>
        <v>#NAME?</v>
      </c>
      <c r="S21" s="1" t="e" cm="1">
        <f t="array" aca="1" ref="S21" ca="1">(BivariateNormalCDF($N21,S$18, 0)-BivariateNormalCDF($N21,R$18, 0))</f>
        <v>#NAME?</v>
      </c>
      <c r="T21" s="1" t="e" cm="1">
        <f t="array" aca="1" ref="T21" ca="1">(BivariateNormalCDF($N21,T$18, 0)-BivariateNormalCDF($N21,S$18, 0))</f>
        <v>#NAME?</v>
      </c>
      <c r="U21" s="1" t="e" cm="1">
        <f t="array" aca="1" ref="U21" ca="1">(BivariateNormalCDF($N21,U$18, 0)-BivariateNormalCDF($N21,T$18, 0))</f>
        <v>#NAME?</v>
      </c>
      <c r="Z21">
        <v>16</v>
      </c>
      <c r="AA21">
        <f t="shared" si="8"/>
        <v>233.8421052631578</v>
      </c>
      <c r="AB21" t="e" cm="1">
        <f t="array" aca="1" ref="AB21" ca="1">LinInt($AA21,$O$7:$O$13,$O$19:$O$25)</f>
        <v>#NAME?</v>
      </c>
      <c r="AC21" t="e" cm="1">
        <f t="array" aca="1" ref="AC21" ca="1">LinInt($AA21,$P$7:$P$13,$P$19:$P$25)</f>
        <v>#NAME?</v>
      </c>
      <c r="AD21" t="e" cm="1">
        <f t="array" aca="1" ref="AD21" ca="1">LinInt($AA21,$Q$7:$Q$13,$Q$19:$Q$25)</f>
        <v>#NAME?</v>
      </c>
      <c r="AE21" t="e" cm="1">
        <f t="array" aca="1" ref="AE21" ca="1">LinInt($AA21,$R$7:$R$13,$R$19:$R$25)</f>
        <v>#NAME?</v>
      </c>
      <c r="AF21" t="e" cm="1">
        <f t="array" aca="1" ref="AF21" ca="1">LinInt($AA21,$S$7:$S$13,$S$19:$S$25)</f>
        <v>#NAME?</v>
      </c>
      <c r="AG21" t="e" cm="1">
        <f t="array" aca="1" ref="AG21" ca="1">LinInt($AA21,$T$7:$T$13,$T$19:$T$25)</f>
        <v>#NAME?</v>
      </c>
      <c r="AH21" t="e" cm="1">
        <f t="array" aca="1" ref="AH21" ca="1">LinInt($AA21,$U$7:$U$13,$U$19:$U$25)</f>
        <v>#NAME?</v>
      </c>
      <c r="AI21" t="e">
        <f t="shared" ca="1" si="1"/>
        <v>#NAME?</v>
      </c>
      <c r="AK21">
        <f t="shared" si="9"/>
        <v>0.9676096848949618</v>
      </c>
    </row>
    <row r="22" spans="2:37" x14ac:dyDescent="0.25">
      <c r="B22">
        <v>16</v>
      </c>
      <c r="C22">
        <f t="shared" ca="1" si="2"/>
        <v>0.47265105672752572</v>
      </c>
      <c r="D22">
        <f t="shared" ca="1" si="3"/>
        <v>0.82775229940088124</v>
      </c>
      <c r="E22">
        <f t="shared" ca="1" si="4"/>
        <v>98.970888718363511</v>
      </c>
      <c r="F22">
        <f t="shared" ca="1" si="5"/>
        <v>103.63300634818449</v>
      </c>
      <c r="G22">
        <f t="shared" ca="1" si="6"/>
        <v>202.60389506654801</v>
      </c>
      <c r="M22">
        <v>100</v>
      </c>
      <c r="N22">
        <f t="shared" si="14"/>
        <v>0.5</v>
      </c>
      <c r="O22" s="1" t="e" cm="1">
        <f t="array" aca="1" ref="O22" ca="1">BivariateNormalCDF($N22,O$18, 0)</f>
        <v>#NAME?</v>
      </c>
      <c r="P22" s="1" t="e" cm="1">
        <f t="array" aca="1" ref="P22" ca="1">(BivariateNormalCDF($N22,P$18, 0)-BivariateNormalCDF($N22,O$18, 0))</f>
        <v>#NAME?</v>
      </c>
      <c r="Q22" s="1" t="e" cm="1">
        <f t="array" aca="1" ref="Q22" ca="1">(BivariateNormalCDF($N22,Q$18, 0)-BivariateNormalCDF($N22,P$18, 0))</f>
        <v>#NAME?</v>
      </c>
      <c r="R22" s="1" t="e" cm="1">
        <f t="array" aca="1" ref="R22" ca="1">(BivariateNormalCDF($N22,R$18, 0)-BivariateNormalCDF($N22,Q$18, 0))</f>
        <v>#NAME?</v>
      </c>
      <c r="S22" s="1" t="e" cm="1">
        <f t="array" aca="1" ref="S22" ca="1">(BivariateNormalCDF($N22,S$18, 0)-BivariateNormalCDF($N22,R$18, 0))</f>
        <v>#NAME?</v>
      </c>
      <c r="T22" s="1" t="e" cm="1">
        <f t="array" aca="1" ref="T22" ca="1">(BivariateNormalCDF($N22,T$18, 0)-BivariateNormalCDF($N22,S$18, 0))</f>
        <v>#NAME?</v>
      </c>
      <c r="U22" s="1" t="e" cm="1">
        <f t="array" aca="1" ref="U22" ca="1">(BivariateNormalCDF($N22,U$18, 0)-BivariateNormalCDF($N22,T$18, 0))</f>
        <v>#NAME?</v>
      </c>
      <c r="Z22">
        <v>17</v>
      </c>
      <c r="AA22">
        <f t="shared" si="8"/>
        <v>243.63157894736833</v>
      </c>
      <c r="AB22" t="e" cm="1">
        <f t="array" aca="1" ref="AB22" ca="1">LinInt($AA22,$O$7:$O$13,$O$19:$O$25)</f>
        <v>#NAME?</v>
      </c>
      <c r="AC22" t="e" cm="1">
        <f t="array" aca="1" ref="AC22" ca="1">LinInt($AA22,$P$7:$P$13,$P$19:$P$25)</f>
        <v>#NAME?</v>
      </c>
      <c r="AD22" t="e" cm="1">
        <f t="array" aca="1" ref="AD22" ca="1">LinInt($AA22,$Q$7:$Q$13,$Q$19:$Q$25)</f>
        <v>#NAME?</v>
      </c>
      <c r="AE22" t="e" cm="1">
        <f t="array" aca="1" ref="AE22" ca="1">LinInt($AA22,$R$7:$R$13,$R$19:$R$25)</f>
        <v>#NAME?</v>
      </c>
      <c r="AF22" t="e" cm="1">
        <f t="array" aca="1" ref="AF22" ca="1">LinInt($AA22,$S$7:$S$13,$S$19:$S$25)</f>
        <v>#NAME?</v>
      </c>
      <c r="AG22" t="e" cm="1">
        <f t="array" aca="1" ref="AG22" ca="1">LinInt($AA22,$T$7:$T$13,$T$19:$T$25)</f>
        <v>#NAME?</v>
      </c>
      <c r="AH22" t="e" cm="1">
        <f t="array" aca="1" ref="AH22" ca="1">LinInt($AA22,$U$7:$U$13,$U$19:$U$25)</f>
        <v>#NAME?</v>
      </c>
      <c r="AI22" t="e">
        <f t="shared" ca="1" si="1"/>
        <v>#NAME?</v>
      </c>
      <c r="AK22">
        <f t="shared" si="9"/>
        <v>0.98546533865119157</v>
      </c>
    </row>
    <row r="23" spans="2:37" x14ac:dyDescent="0.25">
      <c r="B23">
        <v>17</v>
      </c>
      <c r="C23">
        <f t="shared" ca="1" si="2"/>
        <v>0.49042747795217723</v>
      </c>
      <c r="D23">
        <f t="shared" ca="1" si="3"/>
        <v>0.94554059270995672</v>
      </c>
      <c r="E23">
        <f t="shared" ca="1" si="4"/>
        <v>99.640044139325497</v>
      </c>
      <c r="F23">
        <f t="shared" ca="1" si="5"/>
        <v>120.0767937018436</v>
      </c>
      <c r="G23">
        <f t="shared" ca="1" si="6"/>
        <v>219.71683784116908</v>
      </c>
      <c r="M23">
        <v>110</v>
      </c>
      <c r="N23">
        <f t="shared" si="14"/>
        <v>0.74750746245307709</v>
      </c>
      <c r="O23" s="1" t="e" cm="1">
        <f t="array" aca="1" ref="O23" ca="1">BivariateNormalCDF($N23,O$18, 0)</f>
        <v>#NAME?</v>
      </c>
      <c r="P23" s="1" t="e" cm="1">
        <f t="array" aca="1" ref="P23" ca="1">(BivariateNormalCDF($N23,P$18, 0)-BivariateNormalCDF($N23,O$18, 0))</f>
        <v>#NAME?</v>
      </c>
      <c r="Q23" s="1" t="e" cm="1">
        <f t="array" aca="1" ref="Q23" ca="1">(BivariateNormalCDF($N23,Q$18, 0)-BivariateNormalCDF($N23,P$18, 0))</f>
        <v>#NAME?</v>
      </c>
      <c r="R23" s="1" t="e" cm="1">
        <f t="array" aca="1" ref="R23" ca="1">(BivariateNormalCDF($N23,R$18, 0)-BivariateNormalCDF($N23,Q$18, 0))</f>
        <v>#NAME?</v>
      </c>
      <c r="S23" s="1" t="e" cm="1">
        <f t="array" aca="1" ref="S23" ca="1">(BivariateNormalCDF($N23,S$18, 0)-BivariateNormalCDF($N23,R$18, 0))</f>
        <v>#NAME?</v>
      </c>
      <c r="T23" s="1" t="e" cm="1">
        <f t="array" aca="1" ref="T23" ca="1">(BivariateNormalCDF($N23,T$18, 0)-BivariateNormalCDF($N23,S$18, 0))</f>
        <v>#NAME?</v>
      </c>
      <c r="U23" s="1" t="e" cm="1">
        <f t="array" aca="1" ref="U23" ca="1">(BivariateNormalCDF($N23,U$18, 0)-BivariateNormalCDF($N23,T$18, 0))</f>
        <v>#NAME?</v>
      </c>
      <c r="Z23">
        <v>18</v>
      </c>
      <c r="AA23">
        <f t="shared" si="8"/>
        <v>253.42105263157885</v>
      </c>
      <c r="AB23" t="e" cm="1">
        <f t="array" aca="1" ref="AB23" ca="1">LinInt($AA23,$O$7:$O$13,$O$19:$O$25)</f>
        <v>#NAME?</v>
      </c>
      <c r="AC23" t="e" cm="1">
        <f t="array" aca="1" ref="AC23" ca="1">LinInt($AA23,$P$7:$P$13,$P$19:$P$25)</f>
        <v>#NAME?</v>
      </c>
      <c r="AD23" t="e" cm="1">
        <f t="array" aca="1" ref="AD23" ca="1">LinInt($AA23,$Q$7:$Q$13,$Q$19:$Q$25)</f>
        <v>#NAME?</v>
      </c>
      <c r="AE23" t="e" cm="1">
        <f t="array" aca="1" ref="AE23" ca="1">LinInt($AA23,$R$7:$R$13,$R$19:$R$25)</f>
        <v>#NAME?</v>
      </c>
      <c r="AF23" t="e" cm="1">
        <f t="array" aca="1" ref="AF23" ca="1">LinInt($AA23,$S$7:$S$13,$S$19:$S$25)</f>
        <v>#NAME?</v>
      </c>
      <c r="AG23" t="e" cm="1">
        <f t="array" aca="1" ref="AG23" ca="1">LinInt($AA23,$T$7:$T$13,$T$19:$T$25)</f>
        <v>#NAME?</v>
      </c>
      <c r="AH23" t="e" cm="1">
        <f t="array" aca="1" ref="AH23" ca="1">LinInt($AA23,$U$7:$U$13,$U$19:$U$25)</f>
        <v>#NAME?</v>
      </c>
      <c r="AI23" t="e">
        <f t="shared" ca="1" si="1"/>
        <v>#NAME?</v>
      </c>
      <c r="AK23">
        <f t="shared" si="9"/>
        <v>0.99410421541391614</v>
      </c>
    </row>
    <row r="24" spans="2:37" x14ac:dyDescent="0.25">
      <c r="B24">
        <v>18</v>
      </c>
      <c r="C24">
        <f t="shared" ca="1" si="2"/>
        <v>0.37984248744760019</v>
      </c>
      <c r="D24">
        <f t="shared" ca="1" si="3"/>
        <v>0.87425434978574001</v>
      </c>
      <c r="E24">
        <f t="shared" ca="1" si="4"/>
        <v>95.41158252283158</v>
      </c>
      <c r="F24">
        <f t="shared" ca="1" si="5"/>
        <v>108.66836653846116</v>
      </c>
      <c r="G24">
        <f t="shared" ca="1" si="6"/>
        <v>204.07994906129272</v>
      </c>
      <c r="M24">
        <v>125</v>
      </c>
      <c r="N24">
        <f t="shared" si="14"/>
        <v>0.9522096477271853</v>
      </c>
      <c r="O24" s="1" t="e" cm="1">
        <f t="array" aca="1" ref="O24" ca="1">BivariateNormalCDF($N24,O$18, 0)</f>
        <v>#NAME?</v>
      </c>
      <c r="P24" s="1" t="e" cm="1">
        <f t="array" aca="1" ref="P24" ca="1">(BivariateNormalCDF($N24,P$18, 0)-BivariateNormalCDF($N24,O$18, 0))</f>
        <v>#NAME?</v>
      </c>
      <c r="Q24" s="1" t="e" cm="1">
        <f t="array" aca="1" ref="Q24" ca="1">(BivariateNormalCDF($N24,Q$18, 0)-BivariateNormalCDF($N24,P$18, 0))</f>
        <v>#NAME?</v>
      </c>
      <c r="R24" s="1" t="e" cm="1">
        <f t="array" aca="1" ref="R24" ca="1">(BivariateNormalCDF($N24,R$18, 0)-BivariateNormalCDF($N24,Q$18, 0))</f>
        <v>#NAME?</v>
      </c>
      <c r="S24" s="1" t="e" cm="1">
        <f t="array" aca="1" ref="S24" ca="1">(BivariateNormalCDF($N24,S$18, 0)-BivariateNormalCDF($N24,R$18, 0))</f>
        <v>#NAME?</v>
      </c>
      <c r="T24" s="1" t="e" cm="1">
        <f t="array" aca="1" ref="T24" ca="1">(BivariateNormalCDF($N24,T$18, 0)-BivariateNormalCDF($N24,S$18, 0))</f>
        <v>#NAME?</v>
      </c>
      <c r="U24" s="1" t="e" cm="1">
        <f t="array" aca="1" ref="U24" ca="1">(BivariateNormalCDF($N24,U$18, 0)-BivariateNormalCDF($N24,T$18, 0))</f>
        <v>#NAME?</v>
      </c>
      <c r="Z24">
        <v>19</v>
      </c>
      <c r="AA24">
        <f t="shared" si="8"/>
        <v>263.21052631578937</v>
      </c>
      <c r="AB24" t="e" cm="1">
        <f t="array" aca="1" ref="AB24" ca="1">LinInt($AA24,$O$7:$O$13,$O$19:$O$25)</f>
        <v>#NAME?</v>
      </c>
      <c r="AC24" t="e" cm="1">
        <f t="array" aca="1" ref="AC24" ca="1">LinInt($AA24,$P$7:$P$13,$P$19:$P$25)</f>
        <v>#NAME?</v>
      </c>
      <c r="AD24" t="e" cm="1">
        <f t="array" aca="1" ref="AD24" ca="1">LinInt($AA24,$Q$7:$Q$13,$Q$19:$Q$25)</f>
        <v>#NAME?</v>
      </c>
      <c r="AE24" t="e" cm="1">
        <f t="array" aca="1" ref="AE24" ca="1">LinInt($AA24,$R$7:$R$13,$R$19:$R$25)</f>
        <v>#NAME?</v>
      </c>
      <c r="AF24" t="e" cm="1">
        <f t="array" aca="1" ref="AF24" ca="1">LinInt($AA24,$S$7:$S$13,$S$19:$S$25)</f>
        <v>#NAME?</v>
      </c>
      <c r="AG24" t="e" cm="1">
        <f t="array" aca="1" ref="AG24" ca="1">LinInt($AA24,$T$7:$T$13,$T$19:$T$25)</f>
        <v>#NAME?</v>
      </c>
      <c r="AH24" t="e" cm="1">
        <f t="array" aca="1" ref="AH24" ca="1">LinInt($AA24,$U$7:$U$13,$U$19:$U$25)</f>
        <v>#NAME?</v>
      </c>
      <c r="AI24" t="e">
        <f t="shared" ca="1" si="1"/>
        <v>#NAME?</v>
      </c>
      <c r="AK24">
        <f t="shared" si="9"/>
        <v>0.99784203587906917</v>
      </c>
    </row>
    <row r="25" spans="2:37" x14ac:dyDescent="0.25">
      <c r="B25">
        <v>19</v>
      </c>
      <c r="C25">
        <f t="shared" ca="1" si="2"/>
        <v>0.62310405579501282</v>
      </c>
      <c r="D25">
        <f t="shared" ca="1" si="3"/>
        <v>0.79769547352538028</v>
      </c>
      <c r="E25">
        <f t="shared" ca="1" si="4"/>
        <v>104.70465109343148</v>
      </c>
      <c r="F25">
        <f t="shared" ca="1" si="5"/>
        <v>100.83544882865387</v>
      </c>
      <c r="G25">
        <f t="shared" ca="1" si="6"/>
        <v>205.54009992208535</v>
      </c>
      <c r="M25">
        <v>135</v>
      </c>
      <c r="N25">
        <f>_xlfn.NORM.DIST(N13,$E$2,$E$3,TRUE)</f>
        <v>0.99018467137135469</v>
      </c>
      <c r="O25" s="1" t="e" cm="1">
        <f t="array" aca="1" ref="O25" ca="1">BivariateNormalCDF($N25,O$18, 0)</f>
        <v>#NAME?</v>
      </c>
      <c r="P25" s="1" t="e" cm="1">
        <f t="array" aca="1" ref="P25" ca="1">(BivariateNormalCDF($N25,P$18, 0)-BivariateNormalCDF($N25,O$18, 0))</f>
        <v>#NAME?</v>
      </c>
      <c r="Q25" s="1" t="e" cm="1">
        <f t="array" aca="1" ref="Q25" ca="1">(BivariateNormalCDF($N25,Q$18, 0)-BivariateNormalCDF($N25,P$18, 0))</f>
        <v>#NAME?</v>
      </c>
      <c r="R25" s="1" t="e" cm="1">
        <f t="array" aca="1" ref="R25" ca="1">(BivariateNormalCDF($N25,R$18, 0)-BivariateNormalCDF($N25,Q$18, 0))</f>
        <v>#NAME?</v>
      </c>
      <c r="S25" s="1" t="e" cm="1">
        <f t="array" aca="1" ref="S25" ca="1">(BivariateNormalCDF($N25,S$18, 0)-BivariateNormalCDF($N25,R$18, 0))</f>
        <v>#NAME?</v>
      </c>
      <c r="T25" s="1" t="e" cm="1">
        <f t="array" aca="1" ref="T25" ca="1">(BivariateNormalCDF($N25,T$18, 0)-BivariateNormalCDF($N25,S$18, 0))</f>
        <v>#NAME?</v>
      </c>
      <c r="U25" s="1" t="e" cm="1">
        <f t="array" aca="1" ref="U25" ca="1">(BivariateNormalCDF($N25,U$18, 0)-BivariateNormalCDF($N25,T$18, 0))</f>
        <v>#NAME?</v>
      </c>
      <c r="Z25">
        <v>20</v>
      </c>
      <c r="AA25">
        <f t="shared" si="8"/>
        <v>272.99999999999989</v>
      </c>
      <c r="AB25" t="e" cm="1">
        <f t="array" aca="1" ref="AB25" ca="1">LinInt($AA25,$O$7:$O$13,$O$19:$O$25)</f>
        <v>#NAME?</v>
      </c>
      <c r="AC25" t="e" cm="1">
        <f t="array" aca="1" ref="AC25" ca="1">LinInt($AA25,$P$7:$P$13,$P$19:$P$25)</f>
        <v>#NAME?</v>
      </c>
      <c r="AD25" t="e" cm="1">
        <f t="array" aca="1" ref="AD25" ca="1">LinInt($AA25,$Q$7:$Q$13,$Q$19:$Q$25)</f>
        <v>#NAME?</v>
      </c>
      <c r="AE25" t="e" cm="1">
        <f t="array" aca="1" ref="AE25" ca="1">LinInt($AA25,$R$7:$R$13,$R$19:$R$25)</f>
        <v>#NAME?</v>
      </c>
      <c r="AF25" t="e" cm="1">
        <f t="array" aca="1" ref="AF25" ca="1">LinInt($AA25,$S$7:$S$13,$S$19:$S$25)</f>
        <v>#NAME?</v>
      </c>
      <c r="AG25" t="e" cm="1">
        <f t="array" aca="1" ref="AG25" ca="1">LinInt($AA25,$T$7:$T$13,$T$19:$T$25)</f>
        <v>#NAME?</v>
      </c>
      <c r="AH25" t="e" cm="1">
        <f t="array" aca="1" ref="AH25" ca="1">LinInt($AA25,$U$7:$U$13,$U$19:$U$25)</f>
        <v>#NAME?</v>
      </c>
      <c r="AI25" t="e">
        <f t="shared" ca="1" si="1"/>
        <v>#NAME?</v>
      </c>
      <c r="AK25">
        <f t="shared" si="9"/>
        <v>0.99928832504230736</v>
      </c>
    </row>
    <row r="26" spans="2:37" x14ac:dyDescent="0.25">
      <c r="B26">
        <v>20</v>
      </c>
      <c r="C26">
        <f t="shared" ca="1" si="2"/>
        <v>0.87149308265817083</v>
      </c>
      <c r="D26">
        <f t="shared" ca="1" si="3"/>
        <v>0.49434577634898202</v>
      </c>
      <c r="E26">
        <f t="shared" ca="1" si="4"/>
        <v>117.00216071307008</v>
      </c>
      <c r="F26">
        <f t="shared" ca="1" si="5"/>
        <v>79.645662214762623</v>
      </c>
      <c r="G26">
        <f t="shared" ca="1" si="6"/>
        <v>196.64782292783269</v>
      </c>
    </row>
    <row r="27" spans="2:37" x14ac:dyDescent="0.25">
      <c r="B27">
        <v>21</v>
      </c>
      <c r="C27">
        <f t="shared" ca="1" si="2"/>
        <v>0.62249727247820597</v>
      </c>
      <c r="D27">
        <f t="shared" ca="1" si="3"/>
        <v>0.80051999750345204</v>
      </c>
      <c r="E27">
        <f t="shared" ca="1" si="4"/>
        <v>104.6806921606338</v>
      </c>
      <c r="F27">
        <f t="shared" ca="1" si="5"/>
        <v>101.08700186123535</v>
      </c>
      <c r="G27">
        <f t="shared" ca="1" si="6"/>
        <v>205.76769402186915</v>
      </c>
      <c r="O27" s="1">
        <f>O18</f>
        <v>2.3851764341508513E-2</v>
      </c>
      <c r="P27" s="1">
        <f>P18-O18</f>
        <v>9.9172638709834865E-2</v>
      </c>
      <c r="Q27" s="1">
        <f t="shared" ref="Q27:U27" si="15">Q18-P18</f>
        <v>0.24390386091262856</v>
      </c>
      <c r="R27" s="1">
        <f t="shared" si="15"/>
        <v>0.26614347207205613</v>
      </c>
      <c r="S27" s="1">
        <f t="shared" si="15"/>
        <v>0.2439038609126285</v>
      </c>
      <c r="T27" s="1">
        <f t="shared" si="15"/>
        <v>9.9172638709834948E-2</v>
      </c>
      <c r="U27" s="1">
        <f t="shared" si="15"/>
        <v>2.3851764341508486E-2</v>
      </c>
      <c r="V27" s="1">
        <f>SUM(O27:U27)</f>
        <v>1</v>
      </c>
    </row>
    <row r="28" spans="2:37" x14ac:dyDescent="0.25">
      <c r="B28">
        <v>22</v>
      </c>
      <c r="C28">
        <f t="shared" ca="1" si="2"/>
        <v>0.18350930020412781</v>
      </c>
      <c r="D28">
        <f t="shared" ca="1" si="3"/>
        <v>0.45724152372181825</v>
      </c>
      <c r="E28">
        <f t="shared" ca="1" si="4"/>
        <v>86.468919399172236</v>
      </c>
      <c r="F28">
        <f t="shared" ca="1" si="5"/>
        <v>77.31535903767309</v>
      </c>
      <c r="G28">
        <f t="shared" ca="1" si="6"/>
        <v>163.78427843684534</v>
      </c>
    </row>
    <row r="29" spans="2:37" x14ac:dyDescent="0.25">
      <c r="B29">
        <v>23</v>
      </c>
      <c r="C29">
        <f t="shared" ca="1" si="2"/>
        <v>0.54922291734176087</v>
      </c>
      <c r="D29">
        <f t="shared" ca="1" si="3"/>
        <v>0.21834096862148289</v>
      </c>
      <c r="E29">
        <f t="shared" ca="1" si="4"/>
        <v>101.85547435622439</v>
      </c>
      <c r="F29">
        <f t="shared" ca="1" si="5"/>
        <v>60.554788392100704</v>
      </c>
      <c r="G29">
        <f t="shared" ca="1" si="6"/>
        <v>162.4102627483251</v>
      </c>
    </row>
    <row r="30" spans="2:37" x14ac:dyDescent="0.25">
      <c r="B30">
        <v>24</v>
      </c>
      <c r="C30">
        <f t="shared" ca="1" si="2"/>
        <v>0.27928186118275022</v>
      </c>
      <c r="D30">
        <f t="shared" ca="1" si="3"/>
        <v>0.56394717310270182</v>
      </c>
      <c r="E30">
        <f t="shared" ca="1" si="4"/>
        <v>91.22535705357771</v>
      </c>
      <c r="F30">
        <f t="shared" ca="1" si="5"/>
        <v>84.024611065955469</v>
      </c>
      <c r="G30">
        <f t="shared" ca="1" si="6"/>
        <v>175.24996811953318</v>
      </c>
    </row>
    <row r="31" spans="2:37" x14ac:dyDescent="0.25">
      <c r="B31">
        <v>25</v>
      </c>
      <c r="C31">
        <f t="shared" ca="1" si="2"/>
        <v>0.96684908475568732</v>
      </c>
      <c r="D31">
        <f t="shared" ca="1" si="3"/>
        <v>5.1403822200826168E-3</v>
      </c>
      <c r="E31">
        <f t="shared" ca="1" si="4"/>
        <v>127.54566396150273</v>
      </c>
      <c r="F31">
        <f t="shared" ca="1" si="5"/>
        <v>15.843998089440191</v>
      </c>
      <c r="G31">
        <f t="shared" ca="1" si="6"/>
        <v>143.38966205094292</v>
      </c>
    </row>
    <row r="32" spans="2:37" x14ac:dyDescent="0.25">
      <c r="B32">
        <v>26</v>
      </c>
      <c r="C32">
        <f t="shared" ca="1" si="2"/>
        <v>3.4790064943003407E-2</v>
      </c>
      <c r="D32">
        <f t="shared" ca="1" si="3"/>
        <v>0.97746619288625691</v>
      </c>
      <c r="E32">
        <f t="shared" ca="1" si="4"/>
        <v>72.780485710211408</v>
      </c>
      <c r="F32">
        <f t="shared" ca="1" si="5"/>
        <v>130.10057091003745</v>
      </c>
      <c r="G32">
        <f t="shared" ca="1" si="6"/>
        <v>202.88105662024884</v>
      </c>
    </row>
    <row r="33" spans="2:7" x14ac:dyDescent="0.25">
      <c r="B33">
        <v>27</v>
      </c>
      <c r="C33">
        <f t="shared" ca="1" si="2"/>
        <v>0.87126166567084351</v>
      </c>
      <c r="D33">
        <f t="shared" ca="1" si="3"/>
        <v>5.5888944321482739E-2</v>
      </c>
      <c r="E33">
        <f t="shared" ca="1" si="4"/>
        <v>116.98563007135795</v>
      </c>
      <c r="F33">
        <f t="shared" ca="1" si="5"/>
        <v>40.243686146819947</v>
      </c>
      <c r="G33">
        <f t="shared" ca="1" si="6"/>
        <v>157.2293162181779</v>
      </c>
    </row>
    <row r="34" spans="2:7" x14ac:dyDescent="0.25">
      <c r="B34">
        <v>28</v>
      </c>
      <c r="C34">
        <f t="shared" ca="1" si="2"/>
        <v>0.68068564105028706</v>
      </c>
      <c r="D34">
        <f t="shared" ca="1" si="3"/>
        <v>0.43865201111247087</v>
      </c>
      <c r="E34">
        <f t="shared" ca="1" si="4"/>
        <v>107.04425413700426</v>
      </c>
      <c r="F34">
        <f t="shared" ca="1" si="5"/>
        <v>76.140306576067033</v>
      </c>
      <c r="G34">
        <f t="shared" ca="1" si="6"/>
        <v>183.18456071307128</v>
      </c>
    </row>
    <row r="35" spans="2:7" x14ac:dyDescent="0.25">
      <c r="B35">
        <v>29</v>
      </c>
      <c r="C35">
        <f t="shared" ca="1" si="2"/>
        <v>0.46633310737363964</v>
      </c>
      <c r="D35">
        <f t="shared" ca="1" si="3"/>
        <v>0.58242524002183316</v>
      </c>
      <c r="E35">
        <f t="shared" ca="1" si="4"/>
        <v>98.732637953280317</v>
      </c>
      <c r="F35">
        <f t="shared" ca="1" si="5"/>
        <v>85.202543776058064</v>
      </c>
      <c r="G35">
        <f t="shared" ca="1" si="6"/>
        <v>183.93518172933838</v>
      </c>
    </row>
    <row r="36" spans="2:7" x14ac:dyDescent="0.25">
      <c r="B36">
        <v>30</v>
      </c>
      <c r="C36">
        <f t="shared" ca="1" si="2"/>
        <v>0.15892998679124093</v>
      </c>
      <c r="D36">
        <f t="shared" ca="1" si="3"/>
        <v>0.33228773029201492</v>
      </c>
      <c r="E36">
        <f t="shared" ca="1" si="4"/>
        <v>85.017021299069214</v>
      </c>
      <c r="F36">
        <f t="shared" ca="1" si="5"/>
        <v>69.159880414145363</v>
      </c>
      <c r="G36">
        <f t="shared" ca="1" si="6"/>
        <v>154.17690171321459</v>
      </c>
    </row>
    <row r="37" spans="2:7" x14ac:dyDescent="0.25">
      <c r="B37">
        <v>31</v>
      </c>
      <c r="C37">
        <f t="shared" ca="1" si="2"/>
        <v>1.0550487847260648E-4</v>
      </c>
      <c r="D37">
        <f t="shared" ca="1" si="3"/>
        <v>0.71581178779348031</v>
      </c>
      <c r="E37">
        <f t="shared" ca="1" si="4"/>
        <v>44.418141929695686</v>
      </c>
      <c r="F37">
        <f t="shared" ca="1" si="5"/>
        <v>94.261106245704738</v>
      </c>
      <c r="G37">
        <f t="shared" ca="1" si="6"/>
        <v>138.67924817540043</v>
      </c>
    </row>
    <row r="38" spans="2:7" x14ac:dyDescent="0.25">
      <c r="B38">
        <v>32</v>
      </c>
      <c r="C38">
        <f t="shared" ca="1" si="2"/>
        <v>3.5089886969808748E-2</v>
      </c>
      <c r="D38">
        <f t="shared" ca="1" si="3"/>
        <v>2.8387253915651534E-3</v>
      </c>
      <c r="E38">
        <f t="shared" ca="1" si="4"/>
        <v>72.838770794591724</v>
      </c>
      <c r="F38">
        <f t="shared" ca="1" si="5"/>
        <v>10.853730554861585</v>
      </c>
      <c r="G38">
        <f t="shared" ca="1" si="6"/>
        <v>83.692501349453309</v>
      </c>
    </row>
    <row r="39" spans="2:7" x14ac:dyDescent="0.25">
      <c r="B39">
        <v>33</v>
      </c>
      <c r="C39">
        <f t="shared" ca="1" si="2"/>
        <v>0.93586146678431681</v>
      </c>
      <c r="D39">
        <f t="shared" ca="1" si="3"/>
        <v>5.3699188426933345E-2</v>
      </c>
      <c r="E39">
        <f t="shared" ca="1" si="4"/>
        <v>122.81397020983309</v>
      </c>
      <c r="F39">
        <f t="shared" ca="1" si="5"/>
        <v>39.750059612219388</v>
      </c>
      <c r="G39">
        <f t="shared" ca="1" si="6"/>
        <v>162.56402982205248</v>
      </c>
    </row>
    <row r="40" spans="2:7" x14ac:dyDescent="0.25">
      <c r="B40">
        <v>34</v>
      </c>
      <c r="C40">
        <f t="shared" ca="1" si="2"/>
        <v>0.10111244186530155</v>
      </c>
      <c r="D40">
        <f t="shared" ca="1" si="3"/>
        <v>0.39648520789843777</v>
      </c>
      <c r="E40">
        <f t="shared" ca="1" si="4"/>
        <v>80.8714244340254</v>
      </c>
      <c r="F40">
        <f t="shared" ca="1" si="5"/>
        <v>73.438616613211238</v>
      </c>
      <c r="G40">
        <f t="shared" ca="1" si="6"/>
        <v>154.31004104723664</v>
      </c>
    </row>
    <row r="41" spans="2:7" x14ac:dyDescent="0.25">
      <c r="B41">
        <v>35</v>
      </c>
      <c r="C41">
        <f t="shared" ca="1" si="2"/>
        <v>0.56277747041180992</v>
      </c>
      <c r="D41">
        <f t="shared" ca="1" si="3"/>
        <v>0.41074747303147402</v>
      </c>
      <c r="E41">
        <f t="shared" ca="1" si="4"/>
        <v>102.37022347225903</v>
      </c>
      <c r="F41">
        <f t="shared" ca="1" si="5"/>
        <v>74.359434494464793</v>
      </c>
      <c r="G41">
        <f t="shared" ca="1" si="6"/>
        <v>176.72965796672383</v>
      </c>
    </row>
    <row r="42" spans="2:7" x14ac:dyDescent="0.25">
      <c r="B42">
        <v>36</v>
      </c>
      <c r="C42">
        <f t="shared" ca="1" si="2"/>
        <v>0.75331882292862418</v>
      </c>
      <c r="D42">
        <f t="shared" ca="1" si="3"/>
        <v>0.97892201928900013</v>
      </c>
      <c r="E42">
        <f t="shared" ca="1" si="4"/>
        <v>110.27456183488604</v>
      </c>
      <c r="F42">
        <f t="shared" ca="1" si="5"/>
        <v>130.79943067984934</v>
      </c>
      <c r="G42">
        <f t="shared" ca="1" si="6"/>
        <v>241.07399251473538</v>
      </c>
    </row>
    <row r="43" spans="2:7" x14ac:dyDescent="0.25">
      <c r="B43">
        <v>37</v>
      </c>
      <c r="C43">
        <f t="shared" ca="1" si="2"/>
        <v>0.64697239898919767</v>
      </c>
      <c r="D43">
        <f t="shared" ca="1" si="3"/>
        <v>0.15437745626001539</v>
      </c>
      <c r="E43">
        <f t="shared" ca="1" si="4"/>
        <v>105.65738995361612</v>
      </c>
      <c r="F43">
        <f t="shared" ca="1" si="5"/>
        <v>54.554048032954718</v>
      </c>
      <c r="G43">
        <f t="shared" ca="1" si="6"/>
        <v>160.21143798657084</v>
      </c>
    </row>
    <row r="44" spans="2:7" x14ac:dyDescent="0.25">
      <c r="B44">
        <v>38</v>
      </c>
      <c r="C44">
        <f t="shared" ca="1" si="2"/>
        <v>4.5138977770986521E-4</v>
      </c>
      <c r="D44">
        <f t="shared" ca="1" si="3"/>
        <v>0.68951022592603761</v>
      </c>
      <c r="E44">
        <f t="shared" ca="1" si="4"/>
        <v>50.212102450087357</v>
      </c>
      <c r="F44">
        <f t="shared" ca="1" si="5"/>
        <v>92.361563762756077</v>
      </c>
      <c r="G44">
        <f t="shared" ca="1" si="6"/>
        <v>142.57366621284342</v>
      </c>
    </row>
    <row r="45" spans="2:7" x14ac:dyDescent="0.25">
      <c r="B45">
        <v>39</v>
      </c>
      <c r="C45">
        <f t="shared" ca="1" si="2"/>
        <v>0.85712804588029823</v>
      </c>
      <c r="D45">
        <f t="shared" ca="1" si="3"/>
        <v>0.99100753619644477</v>
      </c>
      <c r="E45">
        <f t="shared" ca="1" si="4"/>
        <v>116.01257329802984</v>
      </c>
      <c r="F45">
        <f t="shared" ca="1" si="5"/>
        <v>139.14820724342843</v>
      </c>
      <c r="G45">
        <f t="shared" ca="1" si="6"/>
        <v>255.16078054145828</v>
      </c>
    </row>
    <row r="46" spans="2:7" x14ac:dyDescent="0.25">
      <c r="B46">
        <v>40</v>
      </c>
      <c r="C46">
        <f t="shared" ca="1" si="2"/>
        <v>0.16934445512333574</v>
      </c>
      <c r="D46">
        <f t="shared" ca="1" si="3"/>
        <v>0.77890941218476017</v>
      </c>
      <c r="E46">
        <f t="shared" ca="1" si="4"/>
        <v>85.648614981033887</v>
      </c>
      <c r="F46">
        <f t="shared" ca="1" si="5"/>
        <v>99.212879503105427</v>
      </c>
      <c r="G46">
        <f t="shared" ca="1" si="6"/>
        <v>184.86149448413931</v>
      </c>
    </row>
    <row r="47" spans="2:7" x14ac:dyDescent="0.25">
      <c r="B47">
        <v>41</v>
      </c>
      <c r="C47">
        <f t="shared" ca="1" si="2"/>
        <v>0.591988607391146</v>
      </c>
      <c r="D47">
        <f t="shared" ca="1" si="3"/>
        <v>0.99186630344801907</v>
      </c>
      <c r="E47">
        <f t="shared" ca="1" si="4"/>
        <v>103.48995112845783</v>
      </c>
      <c r="F47">
        <f t="shared" ca="1" si="5"/>
        <v>140.0715117065499</v>
      </c>
      <c r="G47">
        <f t="shared" ca="1" si="6"/>
        <v>243.56146283500772</v>
      </c>
    </row>
    <row r="48" spans="2:7" x14ac:dyDescent="0.25">
      <c r="B48">
        <v>42</v>
      </c>
      <c r="C48">
        <f t="shared" ca="1" si="2"/>
        <v>0.93744478175074597</v>
      </c>
      <c r="D48">
        <f t="shared" ca="1" si="3"/>
        <v>0.83692276530085685</v>
      </c>
      <c r="E48">
        <f t="shared" ca="1" si="4"/>
        <v>123.00507567158357</v>
      </c>
      <c r="F48">
        <f t="shared" ca="1" si="5"/>
        <v>104.54722835417417</v>
      </c>
      <c r="G48">
        <f t="shared" ca="1" si="6"/>
        <v>227.55230402575773</v>
      </c>
    </row>
    <row r="49" spans="2:7" x14ac:dyDescent="0.25">
      <c r="B49">
        <v>43</v>
      </c>
      <c r="C49">
        <f t="shared" ca="1" si="2"/>
        <v>0.88071848941804365</v>
      </c>
      <c r="D49">
        <f t="shared" ca="1" si="3"/>
        <v>0.4977500031739841</v>
      </c>
      <c r="E49">
        <f t="shared" ca="1" si="4"/>
        <v>117.67879180338707</v>
      </c>
      <c r="F49">
        <f t="shared" ca="1" si="5"/>
        <v>79.859001610955545</v>
      </c>
      <c r="G49">
        <f t="shared" ca="1" si="6"/>
        <v>197.53779341434262</v>
      </c>
    </row>
    <row r="50" spans="2:7" x14ac:dyDescent="0.25">
      <c r="B50">
        <v>44</v>
      </c>
      <c r="C50">
        <f t="shared" ca="1" si="2"/>
        <v>0.37611150055761622</v>
      </c>
      <c r="D50">
        <f t="shared" ca="1" si="3"/>
        <v>0.77811359520955592</v>
      </c>
      <c r="E50">
        <f t="shared" ca="1" si="4"/>
        <v>95.264357220082786</v>
      </c>
      <c r="F50">
        <f t="shared" ca="1" si="5"/>
        <v>99.145945418677925</v>
      </c>
      <c r="G50">
        <f t="shared" ca="1" si="6"/>
        <v>194.4103026387607</v>
      </c>
    </row>
    <row r="51" spans="2:7" x14ac:dyDescent="0.25">
      <c r="B51">
        <v>45</v>
      </c>
      <c r="C51">
        <f t="shared" ca="1" si="2"/>
        <v>0.48712371051766001</v>
      </c>
      <c r="D51">
        <f t="shared" ca="1" si="3"/>
        <v>0.97216695740197923</v>
      </c>
      <c r="E51">
        <f t="shared" ca="1" si="4"/>
        <v>99.515774841434251</v>
      </c>
      <c r="F51">
        <f t="shared" ca="1" si="5"/>
        <v>127.84101665389886</v>
      </c>
      <c r="G51">
        <f t="shared" ca="1" si="6"/>
        <v>227.35679149533311</v>
      </c>
    </row>
    <row r="52" spans="2:7" x14ac:dyDescent="0.25">
      <c r="B52">
        <v>46</v>
      </c>
      <c r="C52">
        <f t="shared" ca="1" si="2"/>
        <v>0.68292048274124428</v>
      </c>
      <c r="D52">
        <f t="shared" ca="1" si="3"/>
        <v>0.57664157925572346</v>
      </c>
      <c r="E52">
        <f t="shared" ca="1" si="4"/>
        <v>107.13821762055063</v>
      </c>
      <c r="F52">
        <f t="shared" ca="1" si="5"/>
        <v>84.832729367083743</v>
      </c>
      <c r="G52">
        <f t="shared" ca="1" si="6"/>
        <v>191.97094698763436</v>
      </c>
    </row>
    <row r="53" spans="2:7" x14ac:dyDescent="0.25">
      <c r="B53">
        <v>47</v>
      </c>
      <c r="C53">
        <f t="shared" ca="1" si="2"/>
        <v>0.46151455357247839</v>
      </c>
      <c r="D53">
        <f t="shared" ca="1" si="3"/>
        <v>0.93879765957179406</v>
      </c>
      <c r="E53">
        <f t="shared" ca="1" si="4"/>
        <v>98.550717641896895</v>
      </c>
      <c r="F53">
        <f t="shared" ca="1" si="5"/>
        <v>118.61896332605259</v>
      </c>
      <c r="G53">
        <f t="shared" ca="1" si="6"/>
        <v>217.16968096794949</v>
      </c>
    </row>
    <row r="54" spans="2:7" x14ac:dyDescent="0.25">
      <c r="B54">
        <v>48</v>
      </c>
      <c r="C54">
        <f t="shared" ca="1" si="2"/>
        <v>9.5941530521997498E-2</v>
      </c>
      <c r="D54">
        <f t="shared" ca="1" si="3"/>
        <v>0.35421208281819355</v>
      </c>
      <c r="E54">
        <f t="shared" ca="1" si="4"/>
        <v>80.424568873468857</v>
      </c>
      <c r="F54">
        <f t="shared" ca="1" si="5"/>
        <v>70.650666991124226</v>
      </c>
      <c r="G54">
        <f t="shared" ca="1" si="6"/>
        <v>151.07523586459308</v>
      </c>
    </row>
    <row r="55" spans="2:7" x14ac:dyDescent="0.25">
      <c r="B55">
        <v>49</v>
      </c>
      <c r="C55">
        <f t="shared" ca="1" si="2"/>
        <v>0.37628762986212116</v>
      </c>
      <c r="D55">
        <f t="shared" ca="1" si="3"/>
        <v>0.69705391884769941</v>
      </c>
      <c r="E55">
        <f t="shared" ca="1" si="4"/>
        <v>95.271317466671817</v>
      </c>
      <c r="F55">
        <f t="shared" ca="1" si="5"/>
        <v>92.898648664767649</v>
      </c>
      <c r="G55">
        <f t="shared" ca="1" si="6"/>
        <v>188.16996613143948</v>
      </c>
    </row>
    <row r="56" spans="2:7" x14ac:dyDescent="0.25">
      <c r="B56">
        <v>50</v>
      </c>
      <c r="C56">
        <f t="shared" ca="1" si="2"/>
        <v>0.7657220217023103</v>
      </c>
      <c r="D56">
        <f t="shared" ca="1" si="3"/>
        <v>0.6044440852122025</v>
      </c>
      <c r="E56">
        <f t="shared" ca="1" si="4"/>
        <v>110.87245910058958</v>
      </c>
      <c r="F56">
        <f t="shared" ca="1" si="5"/>
        <v>86.621677961432766</v>
      </c>
      <c r="G56">
        <f t="shared" ca="1" si="6"/>
        <v>197.49413706202233</v>
      </c>
    </row>
    <row r="57" spans="2:7" x14ac:dyDescent="0.25">
      <c r="B57">
        <v>51</v>
      </c>
      <c r="C57">
        <f t="shared" ca="1" si="2"/>
        <v>0.91764979129011071</v>
      </c>
      <c r="D57">
        <f t="shared" ca="1" si="3"/>
        <v>0.86174161655098369</v>
      </c>
      <c r="E57">
        <f t="shared" ca="1" si="4"/>
        <v>120.84152974428999</v>
      </c>
      <c r="F57">
        <f t="shared" ca="1" si="5"/>
        <v>107.20443685989372</v>
      </c>
      <c r="G57">
        <f t="shared" ca="1" si="6"/>
        <v>228.04596660418372</v>
      </c>
    </row>
    <row r="58" spans="2:7" x14ac:dyDescent="0.25">
      <c r="B58">
        <v>52</v>
      </c>
      <c r="C58">
        <f t="shared" ca="1" si="2"/>
        <v>0.78765557774358785</v>
      </c>
      <c r="D58">
        <f t="shared" ca="1" si="3"/>
        <v>0.14394941953657836</v>
      </c>
      <c r="E58">
        <f t="shared" ca="1" si="4"/>
        <v>111.97469581050061</v>
      </c>
      <c r="F58">
        <f t="shared" ca="1" si="5"/>
        <v>53.431442865424806</v>
      </c>
      <c r="G58">
        <f t="shared" ca="1" si="6"/>
        <v>165.4061386759254</v>
      </c>
    </row>
    <row r="59" spans="2:7" x14ac:dyDescent="0.25">
      <c r="B59">
        <v>53</v>
      </c>
      <c r="C59">
        <f t="shared" ca="1" si="2"/>
        <v>0.40373587548242418</v>
      </c>
      <c r="D59">
        <f t="shared" ca="1" si="3"/>
        <v>0.87940317950748259</v>
      </c>
      <c r="E59">
        <f t="shared" ca="1" si="4"/>
        <v>96.34466611639489</v>
      </c>
      <c r="F59">
        <f t="shared" ca="1" si="5"/>
        <v>109.30021265912946</v>
      </c>
      <c r="G59">
        <f t="shared" ca="1" si="6"/>
        <v>205.64487877552435</v>
      </c>
    </row>
    <row r="60" spans="2:7" x14ac:dyDescent="0.25">
      <c r="B60">
        <v>54</v>
      </c>
      <c r="C60">
        <f t="shared" ca="1" si="2"/>
        <v>0.46768773552220877</v>
      </c>
      <c r="D60">
        <f t="shared" ca="1" si="3"/>
        <v>2.2487458095045147E-2</v>
      </c>
      <c r="E60">
        <f t="shared" ca="1" si="4"/>
        <v>98.783746056608365</v>
      </c>
      <c r="F60">
        <f t="shared" ca="1" si="5"/>
        <v>29.877775292158411</v>
      </c>
      <c r="G60">
        <f t="shared" ca="1" si="6"/>
        <v>128.66152134876677</v>
      </c>
    </row>
    <row r="61" spans="2:7" x14ac:dyDescent="0.25">
      <c r="B61">
        <v>55</v>
      </c>
      <c r="C61">
        <f t="shared" ca="1" si="2"/>
        <v>0.15876896814484687</v>
      </c>
      <c r="D61">
        <f t="shared" ca="1" si="3"/>
        <v>0.46852168254898297</v>
      </c>
      <c r="E61">
        <f t="shared" ca="1" si="4"/>
        <v>85.007047598804718</v>
      </c>
      <c r="F61">
        <f t="shared" ca="1" si="5"/>
        <v>78.025337630306041</v>
      </c>
      <c r="G61">
        <f t="shared" ca="1" si="6"/>
        <v>163.03238522911076</v>
      </c>
    </row>
    <row r="62" spans="2:7" x14ac:dyDescent="0.25">
      <c r="B62">
        <v>56</v>
      </c>
      <c r="C62">
        <f t="shared" ca="1" si="2"/>
        <v>0.53050763658855271</v>
      </c>
      <c r="D62">
        <f t="shared" ca="1" si="3"/>
        <v>0.1575738352505954</v>
      </c>
      <c r="E62">
        <f t="shared" ca="1" si="4"/>
        <v>101.14818984479069</v>
      </c>
      <c r="F62">
        <f t="shared" ca="1" si="5"/>
        <v>54.888018883194164</v>
      </c>
      <c r="G62">
        <f t="shared" ca="1" si="6"/>
        <v>156.03620872798484</v>
      </c>
    </row>
    <row r="63" spans="2:7" x14ac:dyDescent="0.25">
      <c r="B63">
        <v>57</v>
      </c>
      <c r="C63">
        <f t="shared" ca="1" si="2"/>
        <v>0.12111284330234839</v>
      </c>
      <c r="D63">
        <f t="shared" ca="1" si="3"/>
        <v>0.44072747805921575</v>
      </c>
      <c r="E63">
        <f t="shared" ca="1" si="4"/>
        <v>82.458373357797512</v>
      </c>
      <c r="F63">
        <f t="shared" ca="1" si="5"/>
        <v>76.271873631680847</v>
      </c>
      <c r="G63">
        <f t="shared" ca="1" si="6"/>
        <v>158.73024698947836</v>
      </c>
    </row>
    <row r="64" spans="2:7" x14ac:dyDescent="0.25">
      <c r="B64">
        <v>58</v>
      </c>
      <c r="C64">
        <f t="shared" ca="1" si="2"/>
        <v>0.44508278030168502</v>
      </c>
      <c r="D64">
        <f t="shared" ca="1" si="3"/>
        <v>0.24743754087161268</v>
      </c>
      <c r="E64">
        <f t="shared" ca="1" si="4"/>
        <v>97.928579237510817</v>
      </c>
      <c r="F64">
        <f t="shared" ca="1" si="5"/>
        <v>62.935610993853707</v>
      </c>
      <c r="G64">
        <f t="shared" ca="1" si="6"/>
        <v>160.86419023136452</v>
      </c>
    </row>
    <row r="65" spans="2:7" x14ac:dyDescent="0.25">
      <c r="B65">
        <v>59</v>
      </c>
      <c r="C65">
        <f t="shared" ca="1" si="2"/>
        <v>0.87546683648488388</v>
      </c>
      <c r="D65">
        <f t="shared" ca="1" si="3"/>
        <v>7.836586370412256E-2</v>
      </c>
      <c r="E65">
        <f t="shared" ca="1" si="4"/>
        <v>117.28930231848219</v>
      </c>
      <c r="F65">
        <f t="shared" ca="1" si="5"/>
        <v>44.596261607996503</v>
      </c>
      <c r="G65">
        <f t="shared" ca="1" si="6"/>
        <v>161.88556392647868</v>
      </c>
    </row>
    <row r="66" spans="2:7" x14ac:dyDescent="0.25">
      <c r="B66">
        <v>60</v>
      </c>
      <c r="C66">
        <f t="shared" ca="1" si="2"/>
        <v>0.47821851523865633</v>
      </c>
      <c r="D66">
        <f t="shared" ca="1" si="3"/>
        <v>0.8640666859203836</v>
      </c>
      <c r="E66">
        <f t="shared" ca="1" si="4"/>
        <v>99.180621405904859</v>
      </c>
      <c r="F66">
        <f t="shared" ca="1" si="5"/>
        <v>107.46935157537004</v>
      </c>
      <c r="G66">
        <f t="shared" ca="1" si="6"/>
        <v>206.64997298127491</v>
      </c>
    </row>
    <row r="67" spans="2:7" x14ac:dyDescent="0.25">
      <c r="B67">
        <v>61</v>
      </c>
      <c r="C67">
        <f t="shared" ca="1" si="2"/>
        <v>0.53069311062978797</v>
      </c>
      <c r="D67">
        <f t="shared" ca="1" si="3"/>
        <v>0.86156363535702152</v>
      </c>
      <c r="E67">
        <f t="shared" ca="1" si="4"/>
        <v>101.15518414747064</v>
      </c>
      <c r="F67">
        <f t="shared" ca="1" si="5"/>
        <v>107.18428365050283</v>
      </c>
      <c r="G67">
        <f t="shared" ca="1" si="6"/>
        <v>208.33946779797347</v>
      </c>
    </row>
    <row r="68" spans="2:7" x14ac:dyDescent="0.25">
      <c r="B68">
        <v>62</v>
      </c>
      <c r="C68">
        <f t="shared" ca="1" si="2"/>
        <v>0.16033183417438679</v>
      </c>
      <c r="D68">
        <f t="shared" ca="1" si="3"/>
        <v>0.24302487082672836</v>
      </c>
      <c r="E68">
        <f t="shared" ca="1" si="4"/>
        <v>85.103575244534426</v>
      </c>
      <c r="F68">
        <f t="shared" ca="1" si="5"/>
        <v>62.584863647997338</v>
      </c>
      <c r="G68">
        <f t="shared" ca="1" si="6"/>
        <v>147.68843889253176</v>
      </c>
    </row>
    <row r="69" spans="2:7" x14ac:dyDescent="0.25">
      <c r="B69">
        <v>63</v>
      </c>
      <c r="C69">
        <f t="shared" ca="1" si="2"/>
        <v>0.12537313475321821</v>
      </c>
      <c r="D69">
        <f t="shared" ca="1" si="3"/>
        <v>0.22965815577914139</v>
      </c>
      <c r="E69">
        <f t="shared" ca="1" si="4"/>
        <v>82.771920340051139</v>
      </c>
      <c r="F69">
        <f t="shared" ca="1" si="5"/>
        <v>61.500672282576573</v>
      </c>
      <c r="G69">
        <f t="shared" ca="1" si="6"/>
        <v>144.27259262262771</v>
      </c>
    </row>
    <row r="70" spans="2:7" x14ac:dyDescent="0.25">
      <c r="B70">
        <v>64</v>
      </c>
      <c r="C70">
        <f t="shared" ca="1" si="2"/>
        <v>0.72581229427729543</v>
      </c>
      <c r="D70">
        <f t="shared" ca="1" si="3"/>
        <v>1.2858194887299239E-2</v>
      </c>
      <c r="E70">
        <f t="shared" ca="1" si="4"/>
        <v>109.00294467513686</v>
      </c>
      <c r="F70">
        <f t="shared" ca="1" si="5"/>
        <v>24.238300074987791</v>
      </c>
      <c r="G70">
        <f t="shared" ca="1" si="6"/>
        <v>133.24124475012465</v>
      </c>
    </row>
    <row r="71" spans="2:7" x14ac:dyDescent="0.25">
      <c r="B71">
        <v>65</v>
      </c>
      <c r="C71">
        <f t="shared" ca="1" si="2"/>
        <v>2.8809871270191745E-2</v>
      </c>
      <c r="D71">
        <f t="shared" ca="1" si="3"/>
        <v>0.44105305414929641</v>
      </c>
      <c r="E71">
        <f t="shared" ca="1" si="4"/>
        <v>71.521302558734902</v>
      </c>
      <c r="F71">
        <f t="shared" ca="1" si="5"/>
        <v>76.292502944236972</v>
      </c>
      <c r="G71">
        <f t="shared" ca="1" si="6"/>
        <v>147.81380550297189</v>
      </c>
    </row>
    <row r="72" spans="2:7" x14ac:dyDescent="0.25">
      <c r="B72">
        <v>66</v>
      </c>
      <c r="C72">
        <f t="shared" ref="C72:C106" ca="1" si="16">RAND()</f>
        <v>0.44971658348238308</v>
      </c>
      <c r="D72">
        <f t="shared" ref="D72:D106" ca="1" si="17">NORMSDIST($E$4*NORMSINV(C72)+SQRT(1-$E$4*$E$4)*NORMSINV(RAND()))</f>
        <v>0.11703119338565457</v>
      </c>
      <c r="E72">
        <f t="shared" ref="E72:E106" ca="1" si="18">_xlfn.NORM.INV(C72,$E$2,$E$3)</f>
        <v>98.104338546538372</v>
      </c>
      <c r="F72">
        <f t="shared" ref="F72:F106" ca="1" si="19">_xlfn.NORM.INV(D72,$F$2,$F$3)</f>
        <v>50.251017345385996</v>
      </c>
      <c r="G72">
        <f t="shared" ref="G72:G106" ca="1" si="20">E72+F72</f>
        <v>148.35535589192438</v>
      </c>
    </row>
    <row r="73" spans="2:7" x14ac:dyDescent="0.25">
      <c r="B73">
        <v>67</v>
      </c>
      <c r="C73">
        <f t="shared" ca="1" si="16"/>
        <v>0.37936508466957874</v>
      </c>
      <c r="D73">
        <f t="shared" ca="1" si="17"/>
        <v>0.58276035307066487</v>
      </c>
      <c r="E73">
        <f t="shared" ca="1" si="18"/>
        <v>95.392769077388024</v>
      </c>
      <c r="F73">
        <f t="shared" ca="1" si="19"/>
        <v>85.224005469129793</v>
      </c>
      <c r="G73">
        <f t="shared" ca="1" si="20"/>
        <v>180.61677454651783</v>
      </c>
    </row>
    <row r="74" spans="2:7" x14ac:dyDescent="0.25">
      <c r="B74">
        <v>68</v>
      </c>
      <c r="C74">
        <f t="shared" ca="1" si="16"/>
        <v>0.94263837247583948</v>
      </c>
      <c r="D74">
        <f t="shared" ca="1" si="17"/>
        <v>0.67428840761154329</v>
      </c>
      <c r="E74">
        <f t="shared" ca="1" si="18"/>
        <v>123.6597124502623</v>
      </c>
      <c r="F74">
        <f t="shared" ca="1" si="19"/>
        <v>91.294649012385108</v>
      </c>
      <c r="G74">
        <f t="shared" ca="1" si="20"/>
        <v>214.9543614626474</v>
      </c>
    </row>
    <row r="75" spans="2:7" x14ac:dyDescent="0.25">
      <c r="B75">
        <v>69</v>
      </c>
      <c r="C75">
        <f t="shared" ca="1" si="16"/>
        <v>0.82139325419305209</v>
      </c>
      <c r="D75">
        <f t="shared" ca="1" si="17"/>
        <v>0.2021761293969363</v>
      </c>
      <c r="E75">
        <f t="shared" ca="1" si="18"/>
        <v>113.8103157333769</v>
      </c>
      <c r="F75">
        <f t="shared" ca="1" si="19"/>
        <v>59.153161928254363</v>
      </c>
      <c r="G75">
        <f t="shared" ca="1" si="20"/>
        <v>172.96347766163126</v>
      </c>
    </row>
    <row r="76" spans="2:7" x14ac:dyDescent="0.25">
      <c r="B76">
        <v>70</v>
      </c>
      <c r="C76">
        <f t="shared" ca="1" si="16"/>
        <v>0.66061382640226463</v>
      </c>
      <c r="D76">
        <f t="shared" ca="1" si="17"/>
        <v>0.2542621459822717</v>
      </c>
      <c r="E76">
        <f t="shared" ca="1" si="18"/>
        <v>106.21208428647732</v>
      </c>
      <c r="F76">
        <f t="shared" ca="1" si="19"/>
        <v>63.471568491308119</v>
      </c>
      <c r="G76">
        <f t="shared" ca="1" si="20"/>
        <v>169.68365277778543</v>
      </c>
    </row>
    <row r="77" spans="2:7" x14ac:dyDescent="0.25">
      <c r="B77">
        <v>71</v>
      </c>
      <c r="C77">
        <f t="shared" ca="1" si="16"/>
        <v>0.55456479864142838</v>
      </c>
      <c r="D77">
        <f t="shared" ca="1" si="17"/>
        <v>0.82891429048915899</v>
      </c>
      <c r="E77">
        <f t="shared" ca="1" si="18"/>
        <v>102.05804380372685</v>
      </c>
      <c r="F77">
        <f t="shared" ca="1" si="19"/>
        <v>103.74708910531382</v>
      </c>
      <c r="G77">
        <f t="shared" ca="1" si="20"/>
        <v>205.80513290904065</v>
      </c>
    </row>
    <row r="78" spans="2:7" x14ac:dyDescent="0.25">
      <c r="B78">
        <v>72</v>
      </c>
      <c r="C78">
        <f t="shared" ca="1" si="16"/>
        <v>0.14016646269361632</v>
      </c>
      <c r="D78">
        <f t="shared" ca="1" si="17"/>
        <v>0.85967940614714489</v>
      </c>
      <c r="E78">
        <f t="shared" ca="1" si="18"/>
        <v>83.806423695661067</v>
      </c>
      <c r="F78">
        <f t="shared" ca="1" si="19"/>
        <v>106.97200212890918</v>
      </c>
      <c r="G78">
        <f t="shared" ca="1" si="20"/>
        <v>190.77842582457026</v>
      </c>
    </row>
    <row r="79" spans="2:7" x14ac:dyDescent="0.25">
      <c r="B79">
        <v>73</v>
      </c>
      <c r="C79">
        <f t="shared" ca="1" si="16"/>
        <v>0.74387406633767039</v>
      </c>
      <c r="D79">
        <f t="shared" ca="1" si="17"/>
        <v>0.62366735687473485</v>
      </c>
      <c r="E79">
        <f t="shared" ca="1" si="18"/>
        <v>109.83003021391465</v>
      </c>
      <c r="F79">
        <f t="shared" ca="1" si="19"/>
        <v>87.878173117643968</v>
      </c>
      <c r="G79">
        <f t="shared" ca="1" si="20"/>
        <v>197.70820333155862</v>
      </c>
    </row>
    <row r="80" spans="2:7" x14ac:dyDescent="0.25">
      <c r="B80">
        <v>74</v>
      </c>
      <c r="C80">
        <f t="shared" ca="1" si="16"/>
        <v>0.50710452181468879</v>
      </c>
      <c r="D80">
        <f t="shared" ca="1" si="17"/>
        <v>0.86599165945915613</v>
      </c>
      <c r="E80">
        <f t="shared" ca="1" si="18"/>
        <v>100.26714004978298</v>
      </c>
      <c r="F80">
        <f t="shared" ca="1" si="19"/>
        <v>107.69103704259842</v>
      </c>
      <c r="G80">
        <f t="shared" ca="1" si="20"/>
        <v>207.95817709238139</v>
      </c>
    </row>
    <row r="81" spans="2:7" x14ac:dyDescent="0.25">
      <c r="B81">
        <v>75</v>
      </c>
      <c r="C81">
        <f t="shared" ca="1" si="16"/>
        <v>0.5464856832071866</v>
      </c>
      <c r="D81">
        <f t="shared" ca="1" si="17"/>
        <v>0.66436461073660669</v>
      </c>
      <c r="E81">
        <f t="shared" ca="1" si="18"/>
        <v>101.75180901589071</v>
      </c>
      <c r="F81">
        <f t="shared" ca="1" si="19"/>
        <v>90.610114589476652</v>
      </c>
      <c r="G81">
        <f t="shared" ca="1" si="20"/>
        <v>192.36192360536737</v>
      </c>
    </row>
    <row r="82" spans="2:7" x14ac:dyDescent="0.25">
      <c r="B82">
        <v>76</v>
      </c>
      <c r="C82">
        <f t="shared" ca="1" si="16"/>
        <v>0.24288218041193732</v>
      </c>
      <c r="D82">
        <f t="shared" ca="1" si="17"/>
        <v>0.49063192424603919</v>
      </c>
      <c r="E82">
        <f t="shared" ca="1" si="18"/>
        <v>89.544078794129916</v>
      </c>
      <c r="F82">
        <f t="shared" ca="1" si="19"/>
        <v>79.412888948218281</v>
      </c>
      <c r="G82">
        <f t="shared" ca="1" si="20"/>
        <v>168.95696774234818</v>
      </c>
    </row>
    <row r="83" spans="2:7" x14ac:dyDescent="0.25">
      <c r="B83">
        <v>77</v>
      </c>
      <c r="C83">
        <f t="shared" ca="1" si="16"/>
        <v>0.26774082428137613</v>
      </c>
      <c r="D83">
        <f t="shared" ca="1" si="17"/>
        <v>1.6667367195818874E-2</v>
      </c>
      <c r="E83">
        <f t="shared" ca="1" si="18"/>
        <v>90.705099839200827</v>
      </c>
      <c r="F83">
        <f t="shared" ca="1" si="19"/>
        <v>26.799291635189597</v>
      </c>
      <c r="G83">
        <f t="shared" ca="1" si="20"/>
        <v>117.50439147439042</v>
      </c>
    </row>
    <row r="84" spans="2:7" x14ac:dyDescent="0.25">
      <c r="B84">
        <v>78</v>
      </c>
      <c r="C84">
        <f t="shared" ca="1" si="16"/>
        <v>0.25639869608717847</v>
      </c>
      <c r="D84">
        <f t="shared" ca="1" si="17"/>
        <v>0.114364075078233</v>
      </c>
      <c r="E84">
        <f t="shared" ca="1" si="18"/>
        <v>90.182678518293642</v>
      </c>
      <c r="F84">
        <f t="shared" ca="1" si="19"/>
        <v>49.908961085501375</v>
      </c>
      <c r="G84">
        <f t="shared" ca="1" si="20"/>
        <v>140.09163960379502</v>
      </c>
    </row>
    <row r="85" spans="2:7" x14ac:dyDescent="0.25">
      <c r="B85">
        <v>79</v>
      </c>
      <c r="C85">
        <f t="shared" ca="1" si="16"/>
        <v>0.71712903548275242</v>
      </c>
      <c r="D85">
        <f t="shared" ca="1" si="17"/>
        <v>5.2924587086909392E-2</v>
      </c>
      <c r="E85">
        <f t="shared" ca="1" si="18"/>
        <v>108.61500726382997</v>
      </c>
      <c r="F85">
        <f t="shared" ca="1" si="19"/>
        <v>39.57162857653875</v>
      </c>
      <c r="G85">
        <f t="shared" ca="1" si="20"/>
        <v>148.18663584036872</v>
      </c>
    </row>
    <row r="86" spans="2:7" x14ac:dyDescent="0.25">
      <c r="B86">
        <v>80</v>
      </c>
      <c r="C86">
        <f t="shared" ca="1" si="16"/>
        <v>0.19781614647128964</v>
      </c>
      <c r="D86">
        <f t="shared" ca="1" si="17"/>
        <v>0.57493453367250291</v>
      </c>
      <c r="E86">
        <f t="shared" ca="1" si="18"/>
        <v>87.258286455673598</v>
      </c>
      <c r="F86">
        <f t="shared" ca="1" si="19"/>
        <v>84.723784204733917</v>
      </c>
      <c r="G86">
        <f t="shared" ca="1" si="20"/>
        <v>171.98207066040752</v>
      </c>
    </row>
    <row r="87" spans="2:7" x14ac:dyDescent="0.25">
      <c r="B87">
        <v>81</v>
      </c>
      <c r="C87">
        <f t="shared" ca="1" si="16"/>
        <v>0.48394105141805221</v>
      </c>
      <c r="D87">
        <f t="shared" ca="1" si="17"/>
        <v>0.47955625363355969</v>
      </c>
      <c r="E87">
        <f t="shared" ca="1" si="18"/>
        <v>99.396029623668511</v>
      </c>
      <c r="F87">
        <f t="shared" ca="1" si="19"/>
        <v>78.718316954808785</v>
      </c>
      <c r="G87">
        <f t="shared" ca="1" si="20"/>
        <v>178.1143465784773</v>
      </c>
    </row>
    <row r="88" spans="2:7" x14ac:dyDescent="0.25">
      <c r="B88">
        <v>82</v>
      </c>
      <c r="C88">
        <f t="shared" ca="1" si="16"/>
        <v>0.58844536560831928</v>
      </c>
      <c r="D88">
        <f t="shared" ca="1" si="17"/>
        <v>0.26373295492194393</v>
      </c>
      <c r="E88">
        <f t="shared" ca="1" si="18"/>
        <v>103.35321538906379</v>
      </c>
      <c r="F88">
        <f t="shared" ca="1" si="19"/>
        <v>64.203023594520928</v>
      </c>
      <c r="G88">
        <f t="shared" ca="1" si="20"/>
        <v>167.55623898358471</v>
      </c>
    </row>
    <row r="89" spans="2:7" x14ac:dyDescent="0.25">
      <c r="B89">
        <v>83</v>
      </c>
      <c r="C89">
        <f t="shared" ca="1" si="16"/>
        <v>5.7558345308697412E-2</v>
      </c>
      <c r="D89">
        <f t="shared" ca="1" si="17"/>
        <v>0.24798797821948732</v>
      </c>
      <c r="E89">
        <f t="shared" ca="1" si="18"/>
        <v>76.365913778974232</v>
      </c>
      <c r="F89">
        <f t="shared" ca="1" si="19"/>
        <v>62.979127194674106</v>
      </c>
      <c r="G89">
        <f t="shared" ca="1" si="20"/>
        <v>139.34504097364834</v>
      </c>
    </row>
    <row r="90" spans="2:7" x14ac:dyDescent="0.25">
      <c r="B90">
        <v>84</v>
      </c>
      <c r="C90">
        <f t="shared" ca="1" si="16"/>
        <v>0.89281991987159137</v>
      </c>
      <c r="D90">
        <f t="shared" ca="1" si="17"/>
        <v>0.84915609723291385</v>
      </c>
      <c r="E90">
        <f t="shared" ca="1" si="18"/>
        <v>118.62497615113199</v>
      </c>
      <c r="F90">
        <f t="shared" ca="1" si="19"/>
        <v>105.82051799106017</v>
      </c>
      <c r="G90">
        <f t="shared" ca="1" si="20"/>
        <v>224.44549414219216</v>
      </c>
    </row>
    <row r="91" spans="2:7" x14ac:dyDescent="0.25">
      <c r="B91">
        <v>85</v>
      </c>
      <c r="C91">
        <f t="shared" ca="1" si="16"/>
        <v>0.47012968920660725</v>
      </c>
      <c r="D91">
        <f t="shared" ca="1" si="17"/>
        <v>0.85377494976888046</v>
      </c>
      <c r="E91">
        <f t="shared" ca="1" si="18"/>
        <v>98.875842080953959</v>
      </c>
      <c r="F91">
        <f t="shared" ca="1" si="19"/>
        <v>106.31904915746145</v>
      </c>
      <c r="G91">
        <f t="shared" ca="1" si="20"/>
        <v>205.19489123841541</v>
      </c>
    </row>
    <row r="92" spans="2:7" x14ac:dyDescent="0.25">
      <c r="B92">
        <v>86</v>
      </c>
      <c r="C92">
        <f t="shared" ca="1" si="16"/>
        <v>0.51819353970457871</v>
      </c>
      <c r="D92">
        <f t="shared" ca="1" si="17"/>
        <v>0.87378307176584036</v>
      </c>
      <c r="E92">
        <f t="shared" ca="1" si="18"/>
        <v>100.68430390464881</v>
      </c>
      <c r="F92">
        <f t="shared" ca="1" si="19"/>
        <v>108.61144336459536</v>
      </c>
      <c r="G92">
        <f t="shared" ca="1" si="20"/>
        <v>209.29574726924417</v>
      </c>
    </row>
    <row r="93" spans="2:7" x14ac:dyDescent="0.25">
      <c r="B93">
        <v>87</v>
      </c>
      <c r="C93">
        <f t="shared" ca="1" si="16"/>
        <v>0.73557299476070859</v>
      </c>
      <c r="D93">
        <f t="shared" ca="1" si="17"/>
        <v>0.92078121026502402</v>
      </c>
      <c r="E93">
        <f t="shared" ca="1" si="18"/>
        <v>109.44634520154881</v>
      </c>
      <c r="F93">
        <f t="shared" ca="1" si="19"/>
        <v>115.25864682442509</v>
      </c>
      <c r="G93">
        <f t="shared" ca="1" si="20"/>
        <v>224.70499202597389</v>
      </c>
    </row>
    <row r="94" spans="2:7" x14ac:dyDescent="0.25">
      <c r="B94">
        <v>88</v>
      </c>
      <c r="C94">
        <f t="shared" ca="1" si="16"/>
        <v>0.21357648764779513</v>
      </c>
      <c r="D94">
        <f t="shared" ca="1" si="17"/>
        <v>0.69640321295836671</v>
      </c>
      <c r="E94">
        <f t="shared" ca="1" si="18"/>
        <v>88.088906041546224</v>
      </c>
      <c r="F94">
        <f t="shared" ca="1" si="19"/>
        <v>92.852088886580432</v>
      </c>
      <c r="G94">
        <f t="shared" ca="1" si="20"/>
        <v>180.94099492812666</v>
      </c>
    </row>
    <row r="95" spans="2:7" x14ac:dyDescent="0.25">
      <c r="B95">
        <v>89</v>
      </c>
      <c r="C95">
        <f t="shared" ca="1" si="16"/>
        <v>0.26324623003777192</v>
      </c>
      <c r="D95">
        <f t="shared" ca="1" si="17"/>
        <v>0.39588111123922365</v>
      </c>
      <c r="E95">
        <f t="shared" ca="1" si="18"/>
        <v>90.499459397169318</v>
      </c>
      <c r="F95">
        <f t="shared" ca="1" si="19"/>
        <v>73.399425860587286</v>
      </c>
      <c r="G95">
        <f t="shared" ca="1" si="20"/>
        <v>163.8988852577566</v>
      </c>
    </row>
    <row r="96" spans="2:7" x14ac:dyDescent="0.25">
      <c r="B96">
        <v>90</v>
      </c>
      <c r="C96">
        <f t="shared" ca="1" si="16"/>
        <v>6.0096258278449444E-2</v>
      </c>
      <c r="D96">
        <f t="shared" ca="1" si="17"/>
        <v>0.98194196562139002</v>
      </c>
      <c r="E96">
        <f t="shared" ca="1" si="18"/>
        <v>76.690509346414274</v>
      </c>
      <c r="F96">
        <f t="shared" ca="1" si="19"/>
        <v>132.39045631073816</v>
      </c>
      <c r="G96">
        <f t="shared" ca="1" si="20"/>
        <v>209.08096565715243</v>
      </c>
    </row>
    <row r="97" spans="2:7" x14ac:dyDescent="0.25">
      <c r="B97">
        <v>91</v>
      </c>
      <c r="C97">
        <f t="shared" ca="1" si="16"/>
        <v>0.61286280919960956</v>
      </c>
      <c r="D97">
        <f t="shared" ca="1" si="17"/>
        <v>0.65050215927778854</v>
      </c>
      <c r="E97">
        <f t="shared" ca="1" si="18"/>
        <v>104.3018252925648</v>
      </c>
      <c r="F97">
        <f t="shared" ca="1" si="19"/>
        <v>89.66691365726858</v>
      </c>
      <c r="G97">
        <f t="shared" ca="1" si="20"/>
        <v>193.96873894983338</v>
      </c>
    </row>
    <row r="98" spans="2:7" x14ac:dyDescent="0.25">
      <c r="B98">
        <v>92</v>
      </c>
      <c r="C98">
        <f t="shared" ca="1" si="16"/>
        <v>0.57064632325816367</v>
      </c>
      <c r="D98">
        <f t="shared" ca="1" si="17"/>
        <v>0.33243409170653965</v>
      </c>
      <c r="E98">
        <f t="shared" ca="1" si="18"/>
        <v>102.67029838420193</v>
      </c>
      <c r="F98">
        <f t="shared" ca="1" si="19"/>
        <v>69.169955416005038</v>
      </c>
      <c r="G98">
        <f t="shared" ca="1" si="20"/>
        <v>171.84025380020697</v>
      </c>
    </row>
    <row r="99" spans="2:7" x14ac:dyDescent="0.25">
      <c r="B99">
        <v>93</v>
      </c>
      <c r="C99">
        <f t="shared" ca="1" si="16"/>
        <v>0.22352202405765353</v>
      </c>
      <c r="D99">
        <f t="shared" ca="1" si="17"/>
        <v>0.74151723387612678</v>
      </c>
      <c r="E99">
        <f t="shared" ca="1" si="18"/>
        <v>88.594716015662144</v>
      </c>
      <c r="F99">
        <f t="shared" ca="1" si="19"/>
        <v>96.200750568605173</v>
      </c>
      <c r="G99">
        <f t="shared" ca="1" si="20"/>
        <v>184.79546658426733</v>
      </c>
    </row>
    <row r="100" spans="2:7" x14ac:dyDescent="0.25">
      <c r="B100">
        <v>94</v>
      </c>
      <c r="C100">
        <f t="shared" ca="1" si="16"/>
        <v>0.3975298464607212</v>
      </c>
      <c r="D100">
        <f t="shared" ca="1" si="17"/>
        <v>0.64608107635400014</v>
      </c>
      <c r="E100">
        <f t="shared" ca="1" si="18"/>
        <v>96.103809722054535</v>
      </c>
      <c r="F100">
        <f t="shared" ca="1" si="19"/>
        <v>89.369037573034902</v>
      </c>
      <c r="G100">
        <f t="shared" ca="1" si="20"/>
        <v>185.47284729508942</v>
      </c>
    </row>
    <row r="101" spans="2:7" x14ac:dyDescent="0.25">
      <c r="B101">
        <v>95</v>
      </c>
      <c r="C101">
        <f t="shared" ca="1" si="16"/>
        <v>0.77521806613635913</v>
      </c>
      <c r="D101">
        <f t="shared" ca="1" si="17"/>
        <v>0.78968858757043803</v>
      </c>
      <c r="E101">
        <f t="shared" ca="1" si="18"/>
        <v>111.34213488006287</v>
      </c>
      <c r="F101">
        <f t="shared" ca="1" si="19"/>
        <v>100.13352948334797</v>
      </c>
      <c r="G101">
        <f t="shared" ca="1" si="20"/>
        <v>211.47566436341083</v>
      </c>
    </row>
    <row r="102" spans="2:7" x14ac:dyDescent="0.25">
      <c r="B102">
        <v>96</v>
      </c>
      <c r="C102">
        <f t="shared" ca="1" si="16"/>
        <v>0.61027555617439322</v>
      </c>
      <c r="D102">
        <f t="shared" ca="1" si="17"/>
        <v>0.40396462119596749</v>
      </c>
      <c r="E102">
        <f t="shared" ca="1" si="18"/>
        <v>104.2005595069846</v>
      </c>
      <c r="F102">
        <f t="shared" ca="1" si="19"/>
        <v>73.922542314972588</v>
      </c>
      <c r="G102">
        <f t="shared" ca="1" si="20"/>
        <v>178.12310182195719</v>
      </c>
    </row>
    <row r="103" spans="2:7" x14ac:dyDescent="0.25">
      <c r="B103">
        <v>97</v>
      </c>
      <c r="C103">
        <f t="shared" ca="1" si="16"/>
        <v>0.86211557588897358</v>
      </c>
      <c r="D103">
        <f t="shared" ca="1" si="17"/>
        <v>0.9169875991827019</v>
      </c>
      <c r="E103">
        <f t="shared" ca="1" si="18"/>
        <v>116.3481032874391</v>
      </c>
      <c r="F103">
        <f t="shared" ca="1" si="19"/>
        <v>114.62726207273812</v>
      </c>
      <c r="G103">
        <f t="shared" ca="1" si="20"/>
        <v>230.97536536017722</v>
      </c>
    </row>
    <row r="104" spans="2:7" x14ac:dyDescent="0.25">
      <c r="B104">
        <v>98</v>
      </c>
      <c r="C104">
        <f t="shared" ca="1" si="16"/>
        <v>0.13740863470995823</v>
      </c>
      <c r="D104">
        <f t="shared" ca="1" si="17"/>
        <v>8.1017830047832889E-2</v>
      </c>
      <c r="E104">
        <f t="shared" ca="1" si="18"/>
        <v>83.619459707180411</v>
      </c>
      <c r="F104">
        <f t="shared" ca="1" si="19"/>
        <v>45.043554562519837</v>
      </c>
      <c r="G104">
        <f t="shared" ca="1" si="20"/>
        <v>128.66301426970026</v>
      </c>
    </row>
    <row r="105" spans="2:7" x14ac:dyDescent="0.25">
      <c r="B105">
        <v>99</v>
      </c>
      <c r="C105">
        <f t="shared" ca="1" si="16"/>
        <v>0.76053548600239373</v>
      </c>
      <c r="D105">
        <f t="shared" ca="1" si="17"/>
        <v>0.64258436463369484</v>
      </c>
      <c r="E105">
        <f t="shared" ca="1" si="18"/>
        <v>110.6203920198308</v>
      </c>
      <c r="F105">
        <f t="shared" ca="1" si="19"/>
        <v>89.134382688829561</v>
      </c>
      <c r="G105">
        <f t="shared" ca="1" si="20"/>
        <v>199.75477470866036</v>
      </c>
    </row>
    <row r="106" spans="2:7" x14ac:dyDescent="0.25">
      <c r="B106">
        <v>100</v>
      </c>
      <c r="C106">
        <f t="shared" ca="1" si="16"/>
        <v>0.15582331709011388</v>
      </c>
      <c r="D106">
        <f t="shared" ca="1" si="17"/>
        <v>0.28313102399469603</v>
      </c>
      <c r="E106">
        <f t="shared" ca="1" si="18"/>
        <v>84.823405996564617</v>
      </c>
      <c r="F106">
        <f t="shared" ca="1" si="19"/>
        <v>65.660869315544062</v>
      </c>
      <c r="G106">
        <f t="shared" ca="1" si="20"/>
        <v>150.48427531210868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Rho =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Haden Smith</dc:creator>
  <cp:lastModifiedBy>Haden Smith</cp:lastModifiedBy>
  <dcterms:created xsi:type="dcterms:W3CDTF">2026-05-03T08:22:57Z</dcterms:created>
  <dcterms:modified xsi:type="dcterms:W3CDTF">2026-05-04T21:37:07Z</dcterms:modified>
</cp:coreProperties>
</file>